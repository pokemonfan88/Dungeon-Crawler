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济平衡总表" sheetId="1" state="visible" r:id="rId1"/>
    <sheet xmlns:r="http://schemas.openxmlformats.org/officeDocument/2006/relationships" name="战斗数值曲线" sheetId="2" state="visible" r:id="rId2"/>
    <sheet xmlns:r="http://schemas.openxmlformats.org/officeDocument/2006/relationships" name="敌人难度阶梯" sheetId="3" state="visible" r:id="rId3"/>
    <sheet xmlns:r="http://schemas.openxmlformats.org/officeDocument/2006/relationships" name="压力系统阈值" sheetId="4" state="visible" r:id="rId4"/>
    <sheet xmlns:r="http://schemas.openxmlformats.org/officeDocument/2006/relationships" name="建筑升级成本" sheetId="5" state="visible" r:id="rId5"/>
    <sheet xmlns:r="http://schemas.openxmlformats.org/officeDocument/2006/relationships" name="难度修饰符" sheetId="6" state="visible" r:id="rId6"/>
    <sheet xmlns:r="http://schemas.openxmlformats.org/officeDocument/2006/relationships" name="核心公式与参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888888"/>
      <sz val="9"/>
    </font>
    <font>
      <name val="Arial"/>
      <b val="1"/>
      <color rgb="002C3E50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6600"/>
      <sz val="10"/>
    </font>
    <font>
      <name val="Arial"/>
      <b val="1"/>
      <sz val="11"/>
    </font>
    <font>
      <name val="Consolas"/>
      <color rgb="00333333"/>
      <sz val="10"/>
    </font>
    <font>
      <name val="Arial"/>
      <b val="1"/>
      <sz val="12"/>
    </font>
    <font>
      <name val="Arial"/>
      <b val="1"/>
      <color rgb="00C0392B"/>
      <sz val="11"/>
    </font>
    <font>
      <name val="Arial"/>
      <i val="1"/>
      <color rgb="00888888"/>
      <sz val="10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8" customWidth="1" min="4" max="4"/>
    <col width="25" customWidth="1" min="5" max="5"/>
    <col width="24" customWidth="1" min="6" max="6"/>
    <col width="15" customWidth="1" min="7" max="7"/>
  </cols>
  <sheetData>
    <row r="1">
      <c r="A1" s="1" t="inlineStr">
        <is>
          <t>黑暗地牢 — 经济平衡总表</t>
        </is>
      </c>
    </row>
    <row r="2">
      <c r="A2" s="2" t="inlineStr">
        <is>
          <t>版本 v0.1.0 | 所有标记 [PLACEHOLDER] 的数值需在实际测试后调整</t>
        </is>
      </c>
    </row>
    <row r="3"/>
    <row r="4">
      <c r="A4" s="3" t="inlineStr">
        <is>
          <t>A. 任务奖励表 (Mission Rewards)</t>
        </is>
      </c>
    </row>
    <row r="5">
      <c r="A5" s="4" t="inlineStr">
        <is>
          <t>难度层级</t>
        </is>
      </c>
      <c r="B5" s="4" t="inlineStr">
        <is>
          <t>长度类型</t>
        </is>
      </c>
      <c r="C5" s="4" t="inlineStr">
        <is>
          <t>基础金币</t>
        </is>
      </c>
      <c r="D5" s="4" t="inlineStr">
        <is>
          <t>先祖遗物</t>
        </is>
      </c>
      <c r="E5" s="4" t="inlineStr">
        <is>
          <t>饰品期望</t>
        </is>
      </c>
      <c r="F5" s="4" t="inlineStr">
        <is>
          <t>风险等级</t>
        </is>
      </c>
      <c r="G5" s="4" t="inlineStr">
        <is>
          <t>测试状态</t>
        </is>
      </c>
    </row>
    <row r="6">
      <c r="A6" s="5" t="inlineStr">
        <is>
          <t>学徒(Apprentice)</t>
        </is>
      </c>
      <c r="B6" s="5" t="inlineStr">
        <is>
          <t>短</t>
        </is>
      </c>
      <c r="C6" s="5" t="n">
        <v>750</v>
      </c>
      <c r="D6" s="5" t="n">
        <v>0</v>
      </c>
      <c r="E6" s="5" t="inlineStr">
        <is>
          <t>0-1 普通</t>
        </is>
      </c>
      <c r="F6" s="5" t="inlineStr">
        <is>
          <t>★☆☆</t>
        </is>
      </c>
      <c r="G6" s="6" t="inlineStr">
        <is>
          <t>[PLACEHOLDER]</t>
        </is>
      </c>
    </row>
    <row r="7">
      <c r="A7" s="7" t="inlineStr">
        <is>
          <t>学徒(Apprentice)</t>
        </is>
      </c>
      <c r="B7" s="7" t="inlineStr">
        <is>
          <t>中</t>
        </is>
      </c>
      <c r="C7" s="7" t="n">
        <v>1200</v>
      </c>
      <c r="D7" s="7" t="n">
        <v>1</v>
      </c>
      <c r="E7" s="7" t="inlineStr">
        <is>
          <t>1普通+可能稀有</t>
        </is>
      </c>
      <c r="F7" s="7" t="inlineStr">
        <is>
          <t>★★☆</t>
        </is>
      </c>
      <c r="G7" s="8" t="inlineStr">
        <is>
          <t>[PLACEHOLDER]</t>
        </is>
      </c>
    </row>
    <row r="8">
      <c r="A8" s="5" t="inlineStr">
        <is>
          <t>学徒(Apprentice)</t>
        </is>
      </c>
      <c r="B8" s="5" t="inlineStr">
        <is>
          <t>长</t>
        </is>
      </c>
      <c r="C8" s="5" t="n">
        <v>1800</v>
      </c>
      <c r="D8" s="5" t="n">
        <v>2</v>
      </c>
      <c r="E8" s="5" t="inlineStr">
        <is>
          <t>1-2普通+1稀有</t>
        </is>
      </c>
      <c r="F8" s="5" t="inlineStr">
        <is>
          <t>★★★</t>
        </is>
      </c>
      <c r="G8" s="6" t="inlineStr">
        <is>
          <t>[PLACEHOLDER]</t>
        </is>
      </c>
    </row>
    <row r="9">
      <c r="A9" s="7" t="inlineStr">
        <is>
          <t>老兵(Veteran)</t>
        </is>
      </c>
      <c r="B9" s="7" t="inlineStr">
        <is>
          <t>短</t>
        </is>
      </c>
      <c r="C9" s="7" t="n">
        <v>1500</v>
      </c>
      <c r="D9" s="7" t="n">
        <v>2</v>
      </c>
      <c r="E9" s="7" t="inlineStr">
        <is>
          <t>1稀有</t>
        </is>
      </c>
      <c r="F9" s="7" t="inlineStr">
        <is>
          <t>★★☆</t>
        </is>
      </c>
      <c r="G9" s="8" t="inlineStr">
        <is>
          <t>[PLACEHOLDER]</t>
        </is>
      </c>
    </row>
    <row r="10">
      <c r="A10" s="5" t="inlineStr">
        <is>
          <t>老兵(Veteran)</t>
        </is>
      </c>
      <c r="B10" s="5" t="inlineStr">
        <is>
          <t>中</t>
        </is>
      </c>
      <c r="C10" s="5" t="n">
        <v>2400</v>
      </c>
      <c r="D10" s="5" t="n">
        <v>3</v>
      </c>
      <c r="E10" s="5" t="inlineStr">
        <is>
          <t>1-2稀有+可能史诗</t>
        </is>
      </c>
      <c r="F10" s="5" t="inlineStr">
        <is>
          <t>★★★</t>
        </is>
      </c>
      <c r="G10" s="6" t="inlineStr">
        <is>
          <t>[PLACEHOLDER]</t>
        </is>
      </c>
    </row>
    <row r="11">
      <c r="A11" s="7" t="inlineStr">
        <is>
          <t>老兵(Veteran)</t>
        </is>
      </c>
      <c r="B11" s="7" t="inlineStr">
        <is>
          <t>长</t>
        </is>
      </c>
      <c r="C11" s="7" t="n">
        <v>3600</v>
      </c>
      <c r="D11" s="7" t="n">
        <v>5</v>
      </c>
      <c r="E11" s="7" t="inlineStr">
        <is>
          <t>2稀有+1史诗</t>
        </is>
      </c>
      <c r="F11" s="7" t="inlineStr">
        <is>
          <t>★★★★</t>
        </is>
      </c>
      <c r="G11" s="8" t="inlineStr">
        <is>
          <t>[PLACEHOLDER]</t>
        </is>
      </c>
    </row>
    <row r="12">
      <c r="A12" s="5" t="inlineStr">
        <is>
          <t>冠军(Champion)</t>
        </is>
      </c>
      <c r="B12" s="5" t="inlineStr">
        <is>
          <t>短</t>
        </is>
      </c>
      <c r="C12" s="5" t="n">
        <v>3000</v>
      </c>
      <c r="D12" s="5" t="n">
        <v>4</v>
      </c>
      <c r="E12" s="5" t="inlineStr">
        <is>
          <t>1-2稀有+1史诗</t>
        </is>
      </c>
      <c r="F12" s="5" t="inlineStr">
        <is>
          <t>★★★</t>
        </is>
      </c>
      <c r="G12" s="6" t="inlineStr">
        <is>
          <t>[PLACEHOLDER]</t>
        </is>
      </c>
    </row>
    <row r="13">
      <c r="A13" s="7" t="inlineStr">
        <is>
          <t>冠军(Champion)</t>
        </is>
      </c>
      <c r="B13" s="7" t="inlineStr">
        <is>
          <t>中</t>
        </is>
      </c>
      <c r="C13" s="7" t="n">
        <v>4800</v>
      </c>
      <c r="D13" s="7" t="n">
        <v>6</v>
      </c>
      <c r="E13" s="7" t="inlineStr">
        <is>
          <t>2史诗+可能传奇</t>
        </is>
      </c>
      <c r="F13" s="7" t="inlineStr">
        <is>
          <t>★★★★</t>
        </is>
      </c>
      <c r="G13" s="8" t="inlineStr">
        <is>
          <t>[PLACEHOLDER]</t>
        </is>
      </c>
    </row>
    <row r="14">
      <c r="A14" s="5" t="inlineStr">
        <is>
          <t>冠军(Champion)</t>
        </is>
      </c>
      <c r="B14" s="5" t="inlineStr">
        <is>
          <t>长</t>
        </is>
      </c>
      <c r="C14" s="5" t="n">
        <v>7200</v>
      </c>
      <c r="D14" s="5" t="n">
        <v>8</v>
      </c>
      <c r="E14" s="5" t="inlineStr">
        <is>
          <t>2-3史诗+1传奇</t>
        </is>
      </c>
      <c r="F14" s="5" t="inlineStr">
        <is>
          <t>★★★★★</t>
        </is>
      </c>
      <c r="G14" s="6" t="inlineStr">
        <is>
          <t>[PLACEHOLDER]</t>
        </is>
      </c>
    </row>
    <row r="15">
      <c r="A15" s="7" t="inlineStr">
        <is>
          <t>深渊(Abyss)</t>
        </is>
      </c>
      <c r="B15" s="7" t="inlineStr">
        <is>
          <t>短</t>
        </is>
      </c>
      <c r="C15" s="7" t="n">
        <v>6000</v>
      </c>
      <c r="D15" s="7" t="n">
        <v>6</v>
      </c>
      <c r="E15" s="7" t="inlineStr">
        <is>
          <t>2史诗+1传奇</t>
        </is>
      </c>
      <c r="F15" s="7" t="inlineStr">
        <is>
          <t>★★★★</t>
        </is>
      </c>
      <c r="G15" s="8" t="inlineStr">
        <is>
          <t>[PLACEHOLDER]</t>
        </is>
      </c>
    </row>
    <row r="16">
      <c r="A16" s="5" t="inlineStr">
        <is>
          <t>深渊(Abyss)</t>
        </is>
      </c>
      <c r="B16" s="5" t="inlineStr">
        <is>
          <t>中</t>
        </is>
      </c>
      <c r="C16" s="5" t="n">
        <v>9000</v>
      </c>
      <c r="D16" s="5" t="n">
        <v>10</v>
      </c>
      <c r="E16" s="5" t="inlineStr">
        <is>
          <t>3史诗+1-2传奇</t>
        </is>
      </c>
      <c r="F16" s="5" t="inlineStr">
        <is>
          <t>★★★★★</t>
        </is>
      </c>
      <c r="G16" s="6" t="inlineStr">
        <is>
          <t>[PLACEHOLDER]</t>
        </is>
      </c>
    </row>
    <row r="17">
      <c r="A17" s="7" t="inlineStr">
        <is>
          <t>深渊(Abyss)</t>
        </is>
      </c>
      <c r="B17" s="7" t="inlineStr">
        <is>
          <t>长</t>
        </is>
      </c>
      <c r="C17" s="7" t="n">
        <v>14000</v>
      </c>
      <c r="D17" s="7" t="n">
        <v>15</v>
      </c>
      <c r="E17" s="7" t="inlineStr">
        <is>
          <t>4史诗+2传奇+可能诅咒</t>
        </is>
      </c>
      <c r="F17" s="7" t="inlineStr">
        <is>
          <t>★★★★★</t>
        </is>
      </c>
      <c r="G17" s="8" t="inlineStr">
        <is>
          <t>[PLACEHOLDER]</t>
        </is>
      </c>
    </row>
    <row r="18">
      <c r="A18" s="7" t="inlineStr">
        <is>
          <t>总奖励范围</t>
        </is>
      </c>
      <c r="B18" s="7" t="n"/>
      <c r="C18" s="7">
        <f>MIN(C6:C17)</f>
        <v/>
      </c>
      <c r="D18" s="7">
        <f>MAX(C6:C17)</f>
        <v/>
      </c>
      <c r="E18" s="7" t="n"/>
      <c r="F18" s="7" t="n"/>
      <c r="G18" s="7" t="n"/>
    </row>
    <row r="19"/>
    <row r="20">
      <c r="A20" s="3" t="inlineStr">
        <is>
          <t>B. 补给品价格表 (Supply Prices)</t>
        </is>
      </c>
    </row>
    <row r="21">
      <c r="A21" s="4" t="inlineStr">
        <is>
          <t>补给品</t>
        </is>
      </c>
      <c r="B21" s="4" t="inlineStr">
        <is>
          <t>价格(金币)</t>
        </is>
      </c>
      <c r="C21" s="4" t="inlineStr">
        <is>
          <t>效果</t>
        </is>
      </c>
      <c r="D21" s="4" t="inlineStr">
        <is>
          <t>堆叠上限</t>
        </is>
      </c>
      <c r="E21" s="4" t="inlineStr">
        <is>
          <t>推荐携带(短/中/长)</t>
        </is>
      </c>
      <c r="F21" s="4" t="inlineStr">
        <is>
          <t>策略说明</t>
        </is>
      </c>
      <c r="G21" s="4" t="inlineStr">
        <is>
          <t>测试状态</t>
        </is>
      </c>
    </row>
    <row r="22">
      <c r="A22" s="5" t="inlineStr">
        <is>
          <t>火把</t>
        </is>
      </c>
      <c r="B22" s="5" t="n">
        <v>75</v>
      </c>
      <c r="C22" s="5" t="inlineStr">
        <is>
          <t>增加火把值75</t>
        </is>
      </c>
      <c r="D22" s="5" t="n">
        <v>8</v>
      </c>
      <c r="E22" s="5" t="inlineStr">
        <is>
          <t>4/6/8</t>
        </is>
      </c>
      <c r="F22" s="5" t="inlineStr">
        <is>
          <t>核心光照管理，每格消耗1单位</t>
        </is>
      </c>
      <c r="G22" s="6" t="inlineStr">
        <is>
          <t>[PLACEHOLDER]</t>
        </is>
      </c>
    </row>
    <row r="23">
      <c r="A23" s="7" t="inlineStr">
        <is>
          <t>食物</t>
        </is>
      </c>
      <c r="B23" s="7" t="n">
        <v>150</v>
      </c>
      <c r="C23" s="7" t="inlineStr">
        <is>
          <t>防止饥饿事件，营地恢复HP</t>
        </is>
      </c>
      <c r="D23" s="7" t="n">
        <v>12</v>
      </c>
      <c r="E23" s="7" t="inlineStr">
        <is>
          <t>4/8/12</t>
        </is>
      </c>
      <c r="F23" s="7" t="inlineStr">
        <is>
          <t>饥饿检查随机触发，食物不足→全队压力</t>
        </is>
      </c>
      <c r="G23" s="8" t="inlineStr">
        <is>
          <t>[PLACEHOLDER]</t>
        </is>
      </c>
    </row>
    <row r="24">
      <c r="A24" s="5" t="inlineStr">
        <is>
          <t>绷带</t>
        </is>
      </c>
      <c r="B24" s="5" t="n">
        <v>250</v>
      </c>
      <c r="C24" s="5" t="inlineStr">
        <is>
          <t>解除流血状态</t>
        </is>
      </c>
      <c r="D24" s="5" t="n">
        <v>6</v>
      </c>
      <c r="E24" s="5" t="inlineStr">
        <is>
          <t>2/3/4</t>
        </is>
      </c>
      <c r="F24" s="5" t="inlineStr">
        <is>
          <t>对抗流血敌人必备</t>
        </is>
      </c>
      <c r="G24" s="6" t="inlineStr">
        <is>
          <t>[PLACEHOLDER]</t>
        </is>
      </c>
    </row>
    <row r="25">
      <c r="A25" s="7" t="inlineStr">
        <is>
          <t>解毒剂</t>
        </is>
      </c>
      <c r="B25" s="7" t="n">
        <v>250</v>
      </c>
      <c r="C25" s="7" t="inlineStr">
        <is>
          <t>解除中毒状态</t>
        </is>
      </c>
      <c r="D25" s="7" t="n">
        <v>6</v>
      </c>
      <c r="E25" s="7" t="inlineStr">
        <is>
          <t>2/3/3</t>
        </is>
      </c>
      <c r="F25" s="7" t="inlineStr">
        <is>
          <t>对抗中毒敌人必备</t>
        </is>
      </c>
      <c r="G25" s="8" t="inlineStr">
        <is>
          <t>[PLACEHOLDER]</t>
        </is>
      </c>
    </row>
    <row r="26">
      <c r="A26" s="5" t="inlineStr">
        <is>
          <t>圣水</t>
        </is>
      </c>
      <c r="B26" s="5" t="n">
        <v>300</v>
      </c>
      <c r="C26" s="5" t="inlineStr">
        <is>
          <t>奇物安全互动，净化诅咒</t>
        </is>
      </c>
      <c r="D26" s="5" t="n">
        <v>4</v>
      </c>
      <c r="E26" s="5" t="inlineStr">
        <is>
          <t>1/2/2</t>
        </is>
      </c>
      <c r="F26" s="5" t="inlineStr">
        <is>
          <t>奇物互动核心消耗品</t>
        </is>
      </c>
      <c r="G26" s="6" t="inlineStr">
        <is>
          <t>[PLACEHOLDER]</t>
        </is>
      </c>
    </row>
    <row r="27">
      <c r="A27" s="7" t="inlineStr">
        <is>
          <t>草药</t>
        </is>
      </c>
      <c r="B27" s="7" t="n">
        <v>200</v>
      </c>
      <c r="C27" s="7" t="inlineStr">
        <is>
          <t>奇物安全互动，合成药剂</t>
        </is>
      </c>
      <c r="D27" s="7" t="n">
        <v>4</v>
      </c>
      <c r="E27" s="7" t="inlineStr">
        <is>
          <t>1/2/2</t>
        </is>
      </c>
      <c r="F27" s="7" t="inlineStr">
        <is>
          <t>多用途消耗品</t>
        </is>
      </c>
      <c r="G27" s="8" t="inlineStr">
        <is>
          <t>[PLACEHOLDER]</t>
        </is>
      </c>
    </row>
    <row r="28">
      <c r="A28" s="5" t="inlineStr">
        <is>
          <t>万能钥匙</t>
        </is>
      </c>
      <c r="B28" s="5" t="n">
        <v>300</v>
      </c>
      <c r="C28" s="5" t="inlineStr">
        <is>
          <t>开启宝箱，解除陷阱</t>
        </is>
      </c>
      <c r="D28" s="5" t="n">
        <v>3</v>
      </c>
      <c r="E28" s="5" t="inlineStr">
        <is>
          <t>1/1/2</t>
        </is>
      </c>
      <c r="F28" s="5" t="inlineStr">
        <is>
          <t>宝藏房间价值放大器</t>
        </is>
      </c>
      <c r="G28" s="6" t="inlineStr">
        <is>
          <t>[PLACEHOLDER]</t>
        </is>
      </c>
    </row>
    <row r="29">
      <c r="A29" s="7" t="inlineStr">
        <is>
          <t>磨刀石</t>
        </is>
      </c>
      <c r="B29" s="7" t="n">
        <v>350</v>
      </c>
      <c r="C29" s="7" t="inlineStr">
        <is>
          <t>暂时+20%伤害(1场战斗)</t>
        </is>
      </c>
      <c r="D29" s="7" t="n">
        <v>2</v>
      </c>
      <c r="E29" s="7" t="inlineStr">
        <is>
          <t>0/1/1</t>
        </is>
      </c>
      <c r="F29" s="7" t="inlineStr">
        <is>
          <t>Boss战前使用价值最高</t>
        </is>
      </c>
      <c r="G29" s="8" t="inlineStr">
        <is>
          <t>[PLACEHOLDER]</t>
        </is>
      </c>
    </row>
    <row r="30">
      <c r="A30" s="5" t="inlineStr">
        <is>
          <t>镇定剂</t>
        </is>
      </c>
      <c r="B30" s="5" t="n">
        <v>500</v>
      </c>
      <c r="C30" s="5" t="inlineStr">
        <is>
          <t>单体压力-25</t>
        </is>
      </c>
      <c r="D30" s="5" t="n">
        <v>2</v>
      </c>
      <c r="E30" s="5" t="inlineStr">
        <is>
          <t>0/1/1</t>
        </is>
      </c>
      <c r="F30" s="5" t="inlineStr">
        <is>
          <t>紧急压力管理工具</t>
        </is>
      </c>
      <c r="G30" s="6" t="inlineStr">
        <is>
          <t>[PLACEHOLDER]</t>
        </is>
      </c>
    </row>
    <row r="31"/>
    <row r="32"/>
    <row r="33">
      <c r="A33" s="3" t="inlineStr">
        <is>
          <t>C. 关键经济指标 (Key Economic Metrics)</t>
        </is>
      </c>
    </row>
    <row r="34">
      <c r="A34" s="4" t="inlineStr">
        <is>
          <t>指标</t>
        </is>
      </c>
      <c r="B34" s="4" t="inlineStr">
        <is>
          <t>目标值</t>
        </is>
      </c>
      <c r="C34" s="4" t="inlineStr">
        <is>
          <t>最小值</t>
        </is>
      </c>
      <c r="D34" s="4" t="inlineStr">
        <is>
          <t>最大值</t>
        </is>
      </c>
      <c r="E34" s="4" t="inlineStr">
        <is>
          <t>计算公式/说明</t>
        </is>
      </c>
      <c r="F34" s="4" t="inlineStr">
        <is>
          <t>当前偏差</t>
        </is>
      </c>
      <c r="G34" s="4" t="inlineStr">
        <is>
          <t>测试状态</t>
        </is>
      </c>
    </row>
    <row r="35">
      <c r="A35" s="9" t="inlineStr">
        <is>
          <t>单次探险净收益(金币)</t>
        </is>
      </c>
      <c r="B35" s="5">
        <f>750 * 0.75</f>
        <v/>
      </c>
      <c r="C35" s="10" t="n">
        <v>600</v>
      </c>
      <c r="D35" s="10" t="n">
        <v>900</v>
      </c>
      <c r="E35" s="5" t="inlineStr">
        <is>
          <t>任务奖励 - (补给成本 + 治疗 + 减压)</t>
        </is>
      </c>
      <c r="F35" s="5" t="inlineStr">
        <is>
          <t>TBD</t>
        </is>
      </c>
      <c r="G35" s="6" t="inlineStr">
        <is>
          <t>[PLACEHOLDER]</t>
        </is>
      </c>
    </row>
    <row r="36">
      <c r="A36" s="11" t="inlineStr">
        <is>
          <t>建筑升级回本周期(探险次数)</t>
        </is>
      </c>
      <c r="B36" s="7" t="inlineStr">
        <is>
          <t>5-8</t>
        </is>
      </c>
      <c r="C36" s="12" t="n">
        <v>3</v>
      </c>
      <c r="D36" s="12" t="n">
        <v>12</v>
      </c>
      <c r="E36" s="7" t="inlineStr">
        <is>
          <t>建筑收益覆盖成本所需探险次数</t>
        </is>
      </c>
      <c r="F36" s="7" t="inlineStr">
        <is>
          <t>TBD</t>
        </is>
      </c>
      <c r="G36" s="8" t="inlineStr">
        <is>
          <t>[PLACEHOLDER]</t>
        </is>
      </c>
    </row>
    <row r="37">
      <c r="A37" s="9" t="inlineStr">
        <is>
          <t>英雄死亡替换成本(探险次数)</t>
        </is>
      </c>
      <c r="B37" s="5" t="inlineStr">
        <is>
          <t>2-3</t>
        </is>
      </c>
      <c r="C37" s="10" t="n">
        <v>1</v>
      </c>
      <c r="D37" s="10" t="n">
        <v>5</v>
      </c>
      <c r="E37" s="5" t="inlineStr">
        <is>
          <t>培养替代英雄到同等水平所需净收益探险</t>
        </is>
      </c>
      <c r="F37" s="5" t="inlineStr">
        <is>
          <t>TBD</t>
        </is>
      </c>
      <c r="G37" s="6" t="inlineStr">
        <is>
          <t>[PLACEHOLDER]</t>
        </is>
      </c>
    </row>
    <row r="38">
      <c r="A38" s="11" t="inlineStr">
        <is>
          <t>补给成本占比</t>
        </is>
      </c>
      <c r="B38" s="7">
        <f>0.25</f>
        <v/>
      </c>
      <c r="C38" s="7" t="inlineStr">
        <is>
          <t>20%</t>
        </is>
      </c>
      <c r="D38" s="7" t="inlineStr">
        <is>
          <t>30%</t>
        </is>
      </c>
      <c r="E38" s="7" t="inlineStr">
        <is>
          <t>补给成本占任务基础奖励百分比</t>
        </is>
      </c>
      <c r="F38" s="7" t="inlineStr">
        <is>
          <t>TBD</t>
        </is>
      </c>
      <c r="G38" s="8" t="inlineStr">
        <is>
          <t>[PLACEHOLDER]</t>
        </is>
      </c>
    </row>
    <row r="39">
      <c r="A39" s="9" t="inlineStr">
        <is>
          <t>饰品收益占比</t>
        </is>
      </c>
      <c r="B39" s="5">
        <f>0.15</f>
        <v/>
      </c>
      <c r="C39" s="5" t="inlineStr">
        <is>
          <t>10%</t>
        </is>
      </c>
      <c r="D39" s="5" t="inlineStr">
        <is>
          <t>20%</t>
        </is>
      </c>
      <c r="E39" s="5" t="inlineStr">
        <is>
          <t>饰品出售占探险总收益百分比</t>
        </is>
      </c>
      <c r="F39" s="5" t="inlineStr">
        <is>
          <t>TBD</t>
        </is>
      </c>
      <c r="G39" s="6" t="inlineStr">
        <is>
          <t>[PLACEHOLDER]</t>
        </is>
      </c>
    </row>
    <row r="40">
      <c r="A40" s="11" t="inlineStr">
        <is>
          <t>每周维护成本(金币)</t>
        </is>
      </c>
      <c r="B40" s="12" t="n">
        <v>350</v>
      </c>
      <c r="C40" s="12" t="n">
        <v>200</v>
      </c>
      <c r="D40" s="12" t="n">
        <v>500</v>
      </c>
      <c r="E40" s="7" t="inlineStr">
        <is>
          <t>治疗+减压+装备修理最低开销</t>
        </is>
      </c>
      <c r="F40" s="7" t="inlineStr">
        <is>
          <t>TBD</t>
        </is>
      </c>
      <c r="G40" s="8" t="inlineStr">
        <is>
          <t>[PLACEHOLDER]</t>
        </is>
      </c>
    </row>
    <row r="41">
      <c r="A41" s="9" t="inlineStr">
        <is>
          <t>金币通胀率(每探险)</t>
        </is>
      </c>
      <c r="B41" s="5">
        <f>0.05</f>
        <v/>
      </c>
      <c r="C41" s="5" t="inlineStr">
        <is>
          <t>3%</t>
        </is>
      </c>
      <c r="D41" s="5" t="inlineStr">
        <is>
          <t>8%</t>
        </is>
      </c>
      <c r="E41" s="5" t="inlineStr">
        <is>
          <t>每次探险后金币贬值对经济的影响</t>
        </is>
      </c>
      <c r="F41" s="5" t="inlineStr">
        <is>
          <t>TBD</t>
        </is>
      </c>
      <c r="G41" s="6" t="inlineStr">
        <is>
          <t>[PLACEHOLDER]</t>
        </is>
      </c>
    </row>
    <row r="42"/>
    <row r="43"/>
    <row r="44">
      <c r="A44" s="3" t="inlineStr">
        <is>
          <t>D. 主要支出成本 (Expenditure Costs)</t>
        </is>
      </c>
    </row>
    <row r="45">
      <c r="A45" s="4" t="inlineStr">
        <is>
          <t>支出项目</t>
        </is>
      </c>
      <c r="B45" s="4" t="inlineStr">
        <is>
          <t>基础成本(金币)</t>
        </is>
      </c>
      <c r="C45" s="4" t="inlineStr">
        <is>
          <t>最小值</t>
        </is>
      </c>
      <c r="D45" s="4" t="inlineStr">
        <is>
          <t>最大值</t>
        </is>
      </c>
      <c r="E45" s="4" t="inlineStr">
        <is>
          <t>等级/修正公式</t>
        </is>
      </c>
      <c r="F45" s="4" t="inlineStr">
        <is>
          <t>说明</t>
        </is>
      </c>
      <c r="G45" s="4" t="inlineStr">
        <is>
          <t>测试状态</t>
        </is>
      </c>
    </row>
    <row r="46">
      <c r="A46" s="9" t="inlineStr">
        <is>
          <t>英雄招募(Lv0)</t>
        </is>
      </c>
      <c r="B46" s="5" t="n">
        <v>0</v>
      </c>
      <c r="C46" s="5" t="n">
        <v>0</v>
      </c>
      <c r="D46" s="5" t="n">
        <v>0</v>
      </c>
      <c r="E46" s="5" t="inlineStr">
        <is>
          <t>免费</t>
        </is>
      </c>
      <c r="F46" s="5" t="inlineStr">
        <is>
          <t>每周限量免费招募</t>
        </is>
      </c>
      <c r="G46" s="6" t="inlineStr">
        <is>
          <t>[PLACEHOLDER]</t>
        </is>
      </c>
    </row>
    <row r="47">
      <c r="A47" s="11" t="inlineStr">
        <is>
          <t>英雄招募(Lv1+)</t>
        </is>
      </c>
      <c r="B47" s="7" t="n">
        <v>500</v>
      </c>
      <c r="C47" s="7" t="n">
        <v>500</v>
      </c>
      <c r="D47" s="7" t="n">
        <v>3000</v>
      </c>
      <c r="E47" s="7">
        <f>500 + 250*(等级-1)</f>
        <v/>
      </c>
      <c r="F47" s="7" t="inlineStr">
        <is>
          <t>高等级英雄招募成本递增</t>
        </is>
      </c>
      <c r="G47" s="8" t="inlineStr">
        <is>
          <t>[PLACEHOLDER]</t>
        </is>
      </c>
    </row>
    <row r="48">
      <c r="A48" s="9" t="inlineStr">
        <is>
          <t>武器升级(N→N+1)</t>
        </is>
      </c>
      <c r="B48" s="5">
        <f>400*N</f>
        <v/>
      </c>
      <c r="C48" s="5" t="n">
        <v>400</v>
      </c>
      <c r="D48" s="5" t="n">
        <v>4000</v>
      </c>
      <c r="E48" s="5">
        <f>400*当前等级</f>
        <v/>
      </c>
      <c r="F48" s="5" t="inlineStr">
        <is>
          <t>N为当前武器等级</t>
        </is>
      </c>
      <c r="G48" s="6" t="inlineStr">
        <is>
          <t>[PLACEHOLDER]</t>
        </is>
      </c>
    </row>
    <row r="49">
      <c r="A49" s="11" t="inlineStr">
        <is>
          <t>护甲升级(N→N+1)</t>
        </is>
      </c>
      <c r="B49" s="7">
        <f>300*N</f>
        <v/>
      </c>
      <c r="C49" s="7" t="n">
        <v>300</v>
      </c>
      <c r="D49" s="7" t="n">
        <v>3000</v>
      </c>
      <c r="E49" s="7">
        <f>300*当前等级</f>
        <v/>
      </c>
      <c r="F49" s="7" t="inlineStr">
        <is>
          <t>N为当前护甲等级</t>
        </is>
      </c>
      <c r="G49" s="8" t="inlineStr">
        <is>
          <t>[PLACEHOLDER]</t>
        </is>
      </c>
    </row>
    <row r="50">
      <c r="A50" s="9" t="inlineStr">
        <is>
          <t>技能升级(N→N+1)</t>
        </is>
      </c>
      <c r="B50" s="5">
        <f>250*N</f>
        <v/>
      </c>
      <c r="C50" s="5" t="n">
        <v>250</v>
      </c>
      <c r="D50" s="5" t="n">
        <v>2500</v>
      </c>
      <c r="E50" s="5">
        <f>250*当前等级</f>
        <v/>
      </c>
      <c r="F50" s="5" t="inlineStr">
        <is>
          <t>N为当前技能等级</t>
        </is>
      </c>
      <c r="G50" s="6" t="inlineStr">
        <is>
          <t>[PLACEHOLDER]</t>
        </is>
      </c>
    </row>
    <row r="51">
      <c r="A51" s="11" t="inlineStr">
        <is>
          <t>压力治疗(冥想)</t>
        </is>
      </c>
      <c r="B51" s="7" t="n">
        <v>500</v>
      </c>
      <c r="C51" s="7" t="n">
        <v>500</v>
      </c>
      <c r="D51" s="7" t="n">
        <v>500</v>
      </c>
      <c r="E51" s="7" t="inlineStr">
        <is>
          <t>固定</t>
        </is>
      </c>
      <c r="F51" s="7" t="inlineStr">
        <is>
          <t>1周时间，单体-30压力</t>
        </is>
      </c>
      <c r="G51" s="8" t="inlineStr">
        <is>
          <t>[PLACEHOLDER]</t>
        </is>
      </c>
    </row>
    <row r="52">
      <c r="A52" s="9" t="inlineStr">
        <is>
          <t>压力治疗(祈祷)</t>
        </is>
      </c>
      <c r="B52" s="5" t="n">
        <v>1000</v>
      </c>
      <c r="C52" s="5" t="n">
        <v>1000</v>
      </c>
      <c r="D52" s="5" t="n">
        <v>1000</v>
      </c>
      <c r="E52" s="5" t="inlineStr">
        <is>
          <t>固定</t>
        </is>
      </c>
      <c r="F52" s="5" t="inlineStr">
        <is>
          <t>1周时间，单体-50压力</t>
        </is>
      </c>
      <c r="G52" s="6" t="inlineStr">
        <is>
          <t>[PLACEHOLDER]</t>
        </is>
      </c>
    </row>
    <row r="53">
      <c r="A53" s="11" t="inlineStr">
        <is>
          <t>怪癖治疗(负面)</t>
        </is>
      </c>
      <c r="B53" s="7" t="n">
        <v>1000</v>
      </c>
      <c r="C53" s="7" t="n">
        <v>1000</v>
      </c>
      <c r="D53" s="7" t="n">
        <v>5000</v>
      </c>
      <c r="E53" s="7">
        <f>1000*严重程度系数</f>
        <v/>
      </c>
      <c r="F53" s="7" t="inlineStr">
        <is>
          <t>严重程度系数: 轻1.0/中2.0/重5.0</t>
        </is>
      </c>
      <c r="G53" s="8" t="inlineStr">
        <is>
          <t>[PLACEHOLDER]</t>
        </is>
      </c>
    </row>
    <row r="54">
      <c r="A54" s="9" t="inlineStr">
        <is>
          <t>怪癖锁定(正面)</t>
        </is>
      </c>
      <c r="B54" s="5" t="n">
        <v>2000</v>
      </c>
      <c r="C54" s="5" t="n">
        <v>2000</v>
      </c>
      <c r="D54" s="5" t="n">
        <v>2000</v>
      </c>
      <c r="E54" s="5" t="inlineStr">
        <is>
          <t>固定</t>
        </is>
      </c>
      <c r="F54" s="5" t="inlineStr">
        <is>
          <t>永久锁定1个正面怪癖不被替换</t>
        </is>
      </c>
      <c r="G54" s="6" t="inlineStr">
        <is>
          <t>[PLACEHOLDER]</t>
        </is>
      </c>
    </row>
    <row r="55">
      <c r="A55" s="11" t="inlineStr">
        <is>
          <t>疾病治疗</t>
        </is>
      </c>
      <c r="B55" s="7" t="n">
        <v>750</v>
      </c>
      <c r="C55" s="7" t="n">
        <v>750</v>
      </c>
      <c r="D55" s="7" t="n">
        <v>750</v>
      </c>
      <c r="E55" s="7" t="inlineStr">
        <is>
          <t>固定</t>
        </is>
      </c>
      <c r="F55" s="7" t="inlineStr">
        <is>
          <t>1周时间</t>
        </is>
      </c>
      <c r="G55" s="8" t="inlineStr">
        <is>
          <t>[PLACEHOLDER]</t>
        </is>
      </c>
    </row>
    <row r="56">
      <c r="A56" s="9" t="inlineStr">
        <is>
          <t>饰品合成(普通→稀有)</t>
        </is>
      </c>
      <c r="B56" s="5" t="n">
        <v>500</v>
      </c>
      <c r="C56" s="5" t="n">
        <v>500</v>
      </c>
      <c r="D56" s="5" t="n">
        <v>500</v>
      </c>
      <c r="E56" s="5" t="inlineStr">
        <is>
          <t>固定</t>
        </is>
      </c>
      <c r="F56" s="5" t="inlineStr">
        <is>
          <t>消耗2普通产出1稀有</t>
        </is>
      </c>
      <c r="G56" s="6" t="inlineStr">
        <is>
          <t>[PLACEHOLDER]</t>
        </is>
      </c>
    </row>
    <row r="57">
      <c r="A57" s="11" t="inlineStr">
        <is>
          <t>饰品合成(稀有→史诗)</t>
        </is>
      </c>
      <c r="B57" s="7" t="n">
        <v>1500</v>
      </c>
      <c r="C57" s="7" t="n">
        <v>1500</v>
      </c>
      <c r="D57" s="7" t="n">
        <v>1500</v>
      </c>
      <c r="E57" s="7" t="inlineStr">
        <is>
          <t>固定</t>
        </is>
      </c>
      <c r="F57" s="7" t="inlineStr">
        <is>
          <t>额外消耗1先祖遗物</t>
        </is>
      </c>
      <c r="G57" s="8" t="inlineStr">
        <is>
          <t>[PLACEHOLDER]</t>
        </is>
      </c>
    </row>
    <row r="58">
      <c r="A58" s="9" t="inlineStr">
        <is>
          <t>英雄附魔</t>
        </is>
      </c>
      <c r="B58" s="5" t="n">
        <v>2000</v>
      </c>
      <c r="C58" s="5" t="n">
        <v>2000</v>
      </c>
      <c r="D58" s="5" t="n">
        <v>2000</v>
      </c>
      <c r="E58" s="5" t="inlineStr">
        <is>
          <t>固定</t>
        </is>
      </c>
      <c r="F58" s="5" t="inlineStr">
        <is>
          <t>额外消耗3暗影碎片</t>
        </is>
      </c>
      <c r="G58" s="6" t="inlineStr">
        <is>
          <t>[PLACEHOLDER]</t>
        </is>
      </c>
    </row>
  </sheetData>
  <mergeCells count="7">
    <mergeCell ref="A44:G44"/>
    <mergeCell ref="A1:G1"/>
    <mergeCell ref="A4:G4"/>
    <mergeCell ref="A20:G20"/>
    <mergeCell ref="A2:G2"/>
    <mergeCell ref="A18:B18"/>
    <mergeCell ref="A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>
      <c r="A1" s="1" t="inlineStr">
        <is>
          <t>黑暗地牢 — 英雄战斗数值成长曲线 (模板: 十字军 Crusader)</t>
        </is>
      </c>
    </row>
    <row r="2">
      <c r="A2" s="2" t="inlineStr">
        <is>
          <t>所有数值基于Lv1十字军基础模板，其他职业按职业修正系数调整 | [PLACEHOLDER] 标记需实测验证</t>
        </is>
      </c>
    </row>
    <row r="3"/>
    <row r="4">
      <c r="A4" s="4" t="inlineStr">
        <is>
          <t>等级</t>
        </is>
      </c>
      <c r="B4" s="4" t="inlineStr">
        <is>
          <t>HP</t>
        </is>
      </c>
      <c r="C4" s="4" t="inlineStr">
        <is>
          <t>体力上限(STA)</t>
        </is>
      </c>
      <c r="D4" s="4" t="inlineStr">
        <is>
          <t>精准(ACC)</t>
        </is>
      </c>
      <c r="E4" s="4" t="inlineStr">
        <is>
          <t>闪避(DOD)</t>
        </is>
      </c>
      <c r="F4" s="4" t="inlineStr">
        <is>
          <t>护甲(ARM%)</t>
        </is>
      </c>
      <c r="G4" s="4" t="inlineStr">
        <is>
          <t>速度(SPD)</t>
        </is>
      </c>
      <c r="H4" s="4" t="inlineStr">
        <is>
          <t>暴击率(CRT%)</t>
        </is>
      </c>
      <c r="I4" s="4" t="inlineStr">
        <is>
          <t>暴击伤害(CRD%)</t>
        </is>
      </c>
      <c r="J4" s="4" t="inlineStr">
        <is>
          <t>压力抗性(SR%)</t>
        </is>
      </c>
      <c r="K4" s="4" t="inlineStr">
        <is>
          <t>测试状态</t>
        </is>
      </c>
    </row>
    <row r="5">
      <c r="A5" s="13" t="n">
        <v>1</v>
      </c>
      <c r="B5" s="13" t="n">
        <v>35</v>
      </c>
      <c r="C5" s="13" t="n">
        <v>10</v>
      </c>
      <c r="D5" s="13" t="n">
        <v>90</v>
      </c>
      <c r="E5" s="13" t="n">
        <v>10</v>
      </c>
      <c r="F5" s="14" t="n">
        <v>0.2</v>
      </c>
      <c r="G5" s="14" t="n">
        <v>3</v>
      </c>
      <c r="H5" s="14" t="n">
        <v>0.05</v>
      </c>
      <c r="I5" s="14" t="n">
        <v>1.3</v>
      </c>
      <c r="J5" s="14" t="n">
        <v>0.1</v>
      </c>
      <c r="K5" s="15" t="inlineStr">
        <is>
          <t>[PLACEHOLDER]</t>
        </is>
      </c>
    </row>
    <row r="6">
      <c r="A6" s="7" t="n">
        <v>2</v>
      </c>
      <c r="B6" s="7" t="n">
        <v>41</v>
      </c>
      <c r="C6" s="7" t="n">
        <v>10</v>
      </c>
      <c r="D6" s="7" t="n">
        <v>92</v>
      </c>
      <c r="E6" s="7" t="n">
        <v>11</v>
      </c>
      <c r="F6" s="16" t="n">
        <v>0.21</v>
      </c>
      <c r="G6" s="16" t="n">
        <v>4</v>
      </c>
      <c r="H6" s="16" t="n">
        <v>0.06</v>
      </c>
      <c r="I6" s="16" t="n">
        <v>1.35</v>
      </c>
      <c r="J6" s="16" t="n">
        <v>0.11</v>
      </c>
      <c r="K6" s="8" t="inlineStr">
        <is>
          <t>[PLACEHOLDER]</t>
        </is>
      </c>
    </row>
    <row r="7">
      <c r="A7" s="13" t="n">
        <v>3</v>
      </c>
      <c r="B7" s="13" t="n">
        <v>48</v>
      </c>
      <c r="C7" s="13" t="n">
        <v>11</v>
      </c>
      <c r="D7" s="13" t="n">
        <v>95</v>
      </c>
      <c r="E7" s="13" t="n">
        <v>12</v>
      </c>
      <c r="F7" s="14" t="n">
        <v>0.22</v>
      </c>
      <c r="G7" s="14" t="n">
        <v>4</v>
      </c>
      <c r="H7" s="14" t="n">
        <v>0.07000000000000001</v>
      </c>
      <c r="I7" s="14" t="n">
        <v>1.4</v>
      </c>
      <c r="J7" s="14" t="n">
        <v>0.12</v>
      </c>
      <c r="K7" s="15" t="inlineStr">
        <is>
          <t>[PLACEHOLDER]</t>
        </is>
      </c>
    </row>
    <row r="8">
      <c r="A8" s="7" t="n">
        <v>4</v>
      </c>
      <c r="B8" s="7" t="n">
        <v>55</v>
      </c>
      <c r="C8" s="7" t="n">
        <v>11</v>
      </c>
      <c r="D8" s="7" t="n">
        <v>98</v>
      </c>
      <c r="E8" s="7" t="n">
        <v>14</v>
      </c>
      <c r="F8" s="16" t="n">
        <v>0.24</v>
      </c>
      <c r="G8" s="16" t="n">
        <v>5</v>
      </c>
      <c r="H8" s="16" t="n">
        <v>0.08</v>
      </c>
      <c r="I8" s="16" t="n">
        <v>1.45</v>
      </c>
      <c r="J8" s="16" t="n">
        <v>0.13</v>
      </c>
      <c r="K8" s="8" t="inlineStr">
        <is>
          <t>[PLACEHOLDER]</t>
        </is>
      </c>
    </row>
    <row r="9">
      <c r="A9" s="13" t="n">
        <v>5</v>
      </c>
      <c r="B9" s="13" t="n">
        <v>63</v>
      </c>
      <c r="C9" s="13" t="n">
        <v>12</v>
      </c>
      <c r="D9" s="13" t="n">
        <v>101</v>
      </c>
      <c r="E9" s="13" t="n">
        <v>16</v>
      </c>
      <c r="F9" s="14" t="n">
        <v>0.26</v>
      </c>
      <c r="G9" s="14" t="n">
        <v>5</v>
      </c>
      <c r="H9" s="14" t="n">
        <v>0.09</v>
      </c>
      <c r="I9" s="14" t="n">
        <v>1.5</v>
      </c>
      <c r="J9" s="14" t="n">
        <v>0.14</v>
      </c>
      <c r="K9" s="15" t="inlineStr">
        <is>
          <t>[PLACEHOLDER]</t>
        </is>
      </c>
    </row>
    <row r="10">
      <c r="A10" s="7" t="n">
        <v>6</v>
      </c>
      <c r="B10" s="7" t="n">
        <v>72</v>
      </c>
      <c r="C10" s="7" t="n">
        <v>13</v>
      </c>
      <c r="D10" s="7" t="n">
        <v>105</v>
      </c>
      <c r="E10" s="7" t="n">
        <v>18</v>
      </c>
      <c r="F10" s="16" t="n">
        <v>0.28</v>
      </c>
      <c r="G10" s="16" t="n">
        <v>6</v>
      </c>
      <c r="H10" s="16" t="n">
        <v>0.11</v>
      </c>
      <c r="I10" s="16" t="n">
        <v>1.55</v>
      </c>
      <c r="J10" s="16" t="n">
        <v>0.15</v>
      </c>
      <c r="K10" s="8" t="inlineStr">
        <is>
          <t>[PLACEHOLDER]</t>
        </is>
      </c>
    </row>
    <row r="11">
      <c r="A11" s="13" t="n">
        <v>7</v>
      </c>
      <c r="B11" s="13" t="n">
        <v>82</v>
      </c>
      <c r="C11" s="13" t="n">
        <v>14</v>
      </c>
      <c r="D11" s="13" t="n">
        <v>109</v>
      </c>
      <c r="E11" s="13" t="n">
        <v>20</v>
      </c>
      <c r="F11" s="14" t="n">
        <v>0.3</v>
      </c>
      <c r="G11" s="14" t="n">
        <v>7</v>
      </c>
      <c r="H11" s="14" t="n">
        <v>0.13</v>
      </c>
      <c r="I11" s="14" t="n">
        <v>1.6</v>
      </c>
      <c r="J11" s="14" t="n">
        <v>0.16</v>
      </c>
      <c r="K11" s="15" t="inlineStr">
        <is>
          <t>[PLACEHOLDER]</t>
        </is>
      </c>
    </row>
    <row r="12">
      <c r="A12" s="7" t="n">
        <v>8</v>
      </c>
      <c r="B12" s="7" t="n">
        <v>92</v>
      </c>
      <c r="C12" s="7" t="n">
        <v>15</v>
      </c>
      <c r="D12" s="7" t="n">
        <v>113</v>
      </c>
      <c r="E12" s="7" t="n">
        <v>22</v>
      </c>
      <c r="F12" s="16" t="n">
        <v>0.32</v>
      </c>
      <c r="G12" s="16" t="n">
        <v>7</v>
      </c>
      <c r="H12" s="16" t="n">
        <v>0.15</v>
      </c>
      <c r="I12" s="16" t="n">
        <v>1.65</v>
      </c>
      <c r="J12" s="16" t="n">
        <v>0.18</v>
      </c>
      <c r="K12" s="8" t="inlineStr">
        <is>
          <t>[PLACEHOLDER]</t>
        </is>
      </c>
    </row>
    <row r="13">
      <c r="A13" s="13" t="n">
        <v>9</v>
      </c>
      <c r="B13" s="13" t="n">
        <v>103</v>
      </c>
      <c r="C13" s="13" t="n">
        <v>16</v>
      </c>
      <c r="D13" s="13" t="n">
        <v>118</v>
      </c>
      <c r="E13" s="13" t="n">
        <v>24</v>
      </c>
      <c r="F13" s="14" t="n">
        <v>0.35</v>
      </c>
      <c r="G13" s="14" t="n">
        <v>8</v>
      </c>
      <c r="H13" s="14" t="n">
        <v>0.18</v>
      </c>
      <c r="I13" s="14" t="n">
        <v>1.7</v>
      </c>
      <c r="J13" s="14" t="n">
        <v>0.2</v>
      </c>
      <c r="K13" s="15" t="inlineStr">
        <is>
          <t>[PLACEHOLDER]</t>
        </is>
      </c>
    </row>
    <row r="14">
      <c r="A14" s="7" t="n">
        <v>10</v>
      </c>
      <c r="B14" s="7" t="n">
        <v>115</v>
      </c>
      <c r="C14" s="7" t="n">
        <v>18</v>
      </c>
      <c r="D14" s="7" t="n">
        <v>123</v>
      </c>
      <c r="E14" s="7" t="n">
        <v>27</v>
      </c>
      <c r="F14" s="16" t="n">
        <v>0.38</v>
      </c>
      <c r="G14" s="16" t="n">
        <v>9</v>
      </c>
      <c r="H14" s="16" t="n">
        <v>0.2</v>
      </c>
      <c r="I14" s="16" t="n">
        <v>1.75</v>
      </c>
      <c r="J14" s="16" t="n">
        <v>0.22</v>
      </c>
      <c r="K14" s="8" t="inlineStr">
        <is>
          <t>[PLACEHOLDER]</t>
        </is>
      </c>
    </row>
    <row r="15">
      <c r="A15" s="17" t="inlineStr">
        <is>
          <t>Lv1→Lv10 总成长</t>
        </is>
      </c>
      <c r="B15" s="17">
        <f>B14-B5</f>
        <v/>
      </c>
      <c r="C15" s="17">
        <f>C14-C5</f>
        <v/>
      </c>
      <c r="D15" s="17">
        <f>D14-D5</f>
        <v/>
      </c>
      <c r="E15" s="17">
        <f>E14-E5</f>
        <v/>
      </c>
      <c r="F15" s="17">
        <f>F14-F5</f>
        <v/>
      </c>
      <c r="G15" s="18">
        <f>G14-G5</f>
        <v/>
      </c>
      <c r="H15" s="18">
        <f>H14-H5</f>
        <v/>
      </c>
      <c r="I15" s="18">
        <f>I14-I5</f>
        <v/>
      </c>
      <c r="J15" s="18">
        <f>J14-J5</f>
        <v/>
      </c>
      <c r="K15" s="18" t="n"/>
    </row>
    <row r="16">
      <c r="A16" s="17" t="inlineStr">
        <is>
          <t>平均每级成长</t>
        </is>
      </c>
      <c r="B16" s="17">
        <f>B15/9</f>
        <v/>
      </c>
      <c r="C16" s="17">
        <f>C15/9</f>
        <v/>
      </c>
      <c r="D16" s="17">
        <f>D15/9</f>
        <v/>
      </c>
      <c r="E16" s="17">
        <f>E15/9</f>
        <v/>
      </c>
      <c r="F16" s="17" t="n"/>
      <c r="G16" s="17" t="n"/>
      <c r="H16" s="17" t="n"/>
      <c r="I16" s="17" t="n"/>
      <c r="J16" s="17" t="n"/>
      <c r="K16" s="17" t="n"/>
    </row>
    <row r="17"/>
    <row r="18"/>
    <row r="19">
      <c r="A19" s="3" t="inlineStr">
        <is>
          <t>核心战斗公式参考</t>
        </is>
      </c>
    </row>
    <row r="20">
      <c r="A20" s="19" t="inlineStr">
        <is>
          <t>命中率 = CLAMP(攻击方ACC - 防御方DOD, 5%, 95%)</t>
        </is>
      </c>
    </row>
    <row r="21">
      <c r="A21" s="19" t="inlineStr">
        <is>
          <t>非暴击伤害 = MAX(基础伤害 × 技能倍率 × (1 + 伤害修正%) - 目标ARM × (1 - 护甲穿透%), 1)</t>
        </is>
      </c>
    </row>
    <row r="22">
      <c r="A22" s="19" t="inlineStr">
        <is>
          <t>暴击伤害 = 非暴击伤害 × (1.5 + CRD修正)</t>
        </is>
      </c>
    </row>
    <row r="23">
      <c r="A23" s="19" t="inlineStr">
        <is>
          <t>暴击率 = CLAMP(基础CRT% + 技能CRT修正 + buff/debuff修正, 0%, 100%)</t>
        </is>
      </c>
    </row>
    <row r="24">
      <c r="A24" s="19" t="inlineStr">
        <is>
          <t>体力伤害 = 固定值 (不受ARM影响，不受暴击影响)</t>
        </is>
      </c>
    </row>
    <row r="25">
      <c r="A25" s="19" t="inlineStr">
        <is>
          <t>理智伤害 = 固定值 × (1 - SR%)</t>
        </is>
      </c>
    </row>
  </sheetData>
  <mergeCells count="9">
    <mergeCell ref="A22:K22"/>
    <mergeCell ref="A20:K20"/>
    <mergeCell ref="A21:K21"/>
    <mergeCell ref="A25:K25"/>
    <mergeCell ref="A24:K24"/>
    <mergeCell ref="A2:K2"/>
    <mergeCell ref="A19:K19"/>
    <mergeCell ref="A1:K1"/>
    <mergeCell ref="A23:K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13" customWidth="1" min="4" max="4"/>
    <col width="22" customWidth="1" min="5" max="5"/>
    <col width="12" customWidth="1" min="6" max="6"/>
    <col width="12" customWidth="1" min="7" max="7"/>
    <col width="22" customWidth="1" min="8" max="8"/>
    <col width="15" customWidth="1" min="9" max="9"/>
  </cols>
  <sheetData>
    <row r="1">
      <c r="A1" s="1" t="inlineStr">
        <is>
          <t>黑暗地牢 — 敌人难度阶梯表</t>
        </is>
      </c>
    </row>
    <row r="2"/>
    <row r="3">
      <c r="A3" s="4" t="inlineStr">
        <is>
          <t>难度层级</t>
        </is>
      </c>
      <c r="B3" s="4" t="inlineStr">
        <is>
          <t>敌人等级</t>
        </is>
      </c>
      <c r="C3" s="4" t="inlineStr">
        <is>
          <t>平均HP</t>
        </is>
      </c>
      <c r="D3" s="4" t="inlineStr">
        <is>
          <t>平均ACC</t>
        </is>
      </c>
      <c r="E3" s="4" t="inlineStr">
        <is>
          <t>平均DOD</t>
        </is>
      </c>
      <c r="F3" s="4" t="inlineStr">
        <is>
          <t>平均ARM%</t>
        </is>
      </c>
      <c r="G3" s="4" t="inlineStr">
        <is>
          <t>平均伤害/击</t>
        </is>
      </c>
      <c r="H3" s="4" t="inlineStr">
        <is>
          <t>特殊能力</t>
        </is>
      </c>
      <c r="I3" s="4" t="inlineStr">
        <is>
          <t>测试状态</t>
        </is>
      </c>
    </row>
    <row r="4">
      <c r="A4" s="13" t="inlineStr">
        <is>
          <t>学徒(Apprentice)</t>
        </is>
      </c>
      <c r="B4" s="13" t="inlineStr">
        <is>
          <t>1-2</t>
        </is>
      </c>
      <c r="C4" s="13" t="inlineStr">
        <is>
          <t>12-25</t>
        </is>
      </c>
      <c r="D4" s="13" t="inlineStr">
        <is>
          <t>80-85</t>
        </is>
      </c>
      <c r="E4" s="13" t="inlineStr">
        <is>
          <t>5-10</t>
        </is>
      </c>
      <c r="F4" s="13" t="inlineStr">
        <is>
          <t>0-10%</t>
        </is>
      </c>
      <c r="G4" s="13" t="inlineStr">
        <is>
          <t>3-8</t>
        </is>
      </c>
      <c r="H4" s="13" t="inlineStr">
        <is>
          <t>1个简单技能</t>
        </is>
      </c>
      <c r="I4" s="15" t="inlineStr">
        <is>
          <t>[PLACEHOLDER]</t>
        </is>
      </c>
    </row>
    <row r="5">
      <c r="A5" s="7" t="inlineStr">
        <is>
          <t>老兵(Veteran)</t>
        </is>
      </c>
      <c r="B5" s="7" t="inlineStr">
        <is>
          <t>3-4</t>
        </is>
      </c>
      <c r="C5" s="7" t="inlineStr">
        <is>
          <t>22-40</t>
        </is>
      </c>
      <c r="D5" s="7" t="inlineStr">
        <is>
          <t>85-95</t>
        </is>
      </c>
      <c r="E5" s="7" t="inlineStr">
        <is>
          <t>10-18</t>
        </is>
      </c>
      <c r="F5" s="7" t="inlineStr">
        <is>
          <t>5-15%</t>
        </is>
      </c>
      <c r="G5" s="7" t="inlineStr">
        <is>
          <t>6-14</t>
        </is>
      </c>
      <c r="H5" s="7" t="inlineStr">
        <is>
          <t>1-2个技能，可能含debuff</t>
        </is>
      </c>
      <c r="I5" s="8" t="inlineStr">
        <is>
          <t>[PLACEHOLDER]</t>
        </is>
      </c>
    </row>
    <row r="6">
      <c r="A6" s="13" t="inlineStr">
        <is>
          <t>冠军(Champion)</t>
        </is>
      </c>
      <c r="B6" s="13" t="inlineStr">
        <is>
          <t>5-6</t>
        </is>
      </c>
      <c r="C6" s="13" t="inlineStr">
        <is>
          <t>35-60</t>
        </is>
      </c>
      <c r="D6" s="13" t="inlineStr">
        <is>
          <t>90-105</t>
        </is>
      </c>
      <c r="E6" s="13" t="inlineStr">
        <is>
          <t>15-25</t>
        </is>
      </c>
      <c r="F6" s="13" t="inlineStr">
        <is>
          <t>10-25%</t>
        </is>
      </c>
      <c r="G6" s="13" t="inlineStr">
        <is>
          <t>10-22</t>
        </is>
      </c>
      <c r="H6" s="13" t="inlineStr">
        <is>
          <t>2-3个技能，含控制/理智攻击</t>
        </is>
      </c>
      <c r="I6" s="15" t="inlineStr">
        <is>
          <t>[PLACEHOLDER]</t>
        </is>
      </c>
    </row>
    <row r="7">
      <c r="A7" s="7" t="inlineStr">
        <is>
          <t>深渊(Abyss)</t>
        </is>
      </c>
      <c r="B7" s="7" t="inlineStr">
        <is>
          <t>7-8</t>
        </is>
      </c>
      <c r="C7" s="7" t="inlineStr">
        <is>
          <t>50-90</t>
        </is>
      </c>
      <c r="D7" s="7" t="inlineStr">
        <is>
          <t>95-115</t>
        </is>
      </c>
      <c r="E7" s="7" t="inlineStr">
        <is>
          <t>20-35</t>
        </is>
      </c>
      <c r="F7" s="7" t="inlineStr">
        <is>
          <t>15-35%</t>
        </is>
      </c>
      <c r="G7" s="7" t="inlineStr">
        <is>
          <t>16-32</t>
        </is>
      </c>
      <c r="H7" s="7" t="inlineStr">
        <is>
          <t>3-4个技能，含AOE/群体debuff</t>
        </is>
      </c>
      <c r="I7" s="8" t="inlineStr">
        <is>
          <t>[PLACEHOLDER]</t>
        </is>
      </c>
    </row>
    <row r="8">
      <c r="A8" s="13" t="inlineStr">
        <is>
          <t>Boss(通用模板)</t>
        </is>
      </c>
      <c r="B8" s="13" t="inlineStr">
        <is>
          <t>6-10</t>
        </is>
      </c>
      <c r="C8" s="13" t="inlineStr">
        <is>
          <t>80-250</t>
        </is>
      </c>
      <c r="D8" s="13" t="inlineStr">
        <is>
          <t>90-120</t>
        </is>
      </c>
      <c r="E8" s="13" t="inlineStr">
        <is>
          <t>15-30</t>
        </is>
      </c>
      <c r="F8" s="13" t="inlineStr">
        <is>
          <t>20-40%</t>
        </is>
      </c>
      <c r="G8" s="13" t="inlineStr">
        <is>
          <t>12-40</t>
        </is>
      </c>
      <c r="H8" s="13" t="inlineStr">
        <is>
          <t>多阶段+独特机制</t>
        </is>
      </c>
      <c r="I8" s="15" t="inlineStr">
        <is>
          <t>[PLACEHOLDER]</t>
        </is>
      </c>
    </row>
    <row r="9"/>
    <row r="10"/>
    <row r="11">
      <c r="A11" s="3" t="inlineStr">
        <is>
          <t>敌人类型行为模板 (Enemy Type Behavior Templates)</t>
        </is>
      </c>
    </row>
    <row r="12">
      <c r="A12" s="4" t="inlineStr">
        <is>
          <t>敌人类型</t>
        </is>
      </c>
      <c r="B12" s="4" t="inlineStr">
        <is>
          <t>攻击偏好</t>
        </is>
      </c>
      <c r="C12" s="4" t="inlineStr">
        <is>
          <t>特殊行为</t>
        </is>
      </c>
      <c r="D12" s="4" t="inlineStr">
        <is>
          <t>弱点</t>
        </is>
      </c>
      <c r="E12" s="4" t="inlineStr">
        <is>
          <t>免疫</t>
        </is>
      </c>
      <c r="F12" s="4" t="inlineStr"/>
      <c r="G12" s="4" t="inlineStr"/>
      <c r="H12" s="4" t="inlineStr"/>
      <c r="I12" s="4" t="inlineStr">
        <is>
          <t>测试状态</t>
        </is>
      </c>
    </row>
    <row r="13">
      <c r="A13" s="13" t="inlineStr">
        <is>
          <t>野兽(Beast)</t>
        </is>
      </c>
      <c r="B13" s="13" t="inlineStr">
        <is>
          <t>最高伤害输出者</t>
        </is>
      </c>
      <c r="C13" s="13" t="inlineStr">
        <is>
          <t>HP&lt;30%进入狂暴(+50%伤害,-30%防御)</t>
        </is>
      </c>
      <c r="D13" s="13" t="inlineStr">
        <is>
          <t>火焰(+50%伤害)</t>
        </is>
      </c>
      <c r="E13" s="13" t="inlineStr">
        <is>
          <t>无</t>
        </is>
      </c>
      <c r="F13" s="13" t="inlineStr"/>
      <c r="G13" s="13" t="inlineStr"/>
      <c r="H13" s="13" t="inlineStr"/>
      <c r="I13" s="15" t="inlineStr">
        <is>
          <t>[PLACEHOLDER]</t>
        </is>
      </c>
    </row>
    <row r="14">
      <c r="A14" s="7" t="inlineStr">
        <is>
          <t>亡灵(Undead)</t>
        </is>
      </c>
      <c r="B14" s="7" t="inlineStr">
        <is>
          <t>治疗者优先</t>
        </is>
      </c>
      <c r="C14" s="7" t="inlineStr">
        <is>
          <t>死亡时50%概率以1HP复活</t>
        </is>
      </c>
      <c r="D14" s="7" t="inlineStr">
        <is>
          <t>神圣(+50%伤害)</t>
        </is>
      </c>
      <c r="E14" s="7" t="inlineStr">
        <is>
          <t>流血</t>
        </is>
      </c>
      <c r="F14" s="7" t="inlineStr"/>
      <c r="G14" s="7" t="inlineStr"/>
      <c r="H14" s="7" t="inlineStr"/>
      <c r="I14" s="8" t="inlineStr">
        <is>
          <t>[PLACEHOLDER]</t>
        </is>
      </c>
    </row>
    <row r="15">
      <c r="A15" s="13" t="inlineStr">
        <is>
          <t>邪教徒(Cultist)</t>
        </is>
      </c>
      <c r="B15" s="13" t="inlineStr">
        <is>
          <t>压力最高者</t>
        </is>
      </c>
      <c r="C15" s="13" t="inlineStr">
        <is>
          <t>每3回合施放群体理智伤害</t>
        </is>
      </c>
      <c r="D15" s="13" t="inlineStr">
        <is>
          <t>沉默/眩晕</t>
        </is>
      </c>
      <c r="E15" s="13" t="inlineStr">
        <is>
          <t>恐惧</t>
        </is>
      </c>
      <c r="F15" s="13" t="inlineStr"/>
      <c r="G15" s="13" t="inlineStr"/>
      <c r="H15" s="13" t="inlineStr"/>
      <c r="I15" s="15" t="inlineStr">
        <is>
          <t>[PLACEHOLDER]</t>
        </is>
      </c>
    </row>
    <row r="16">
      <c r="A16" s="7" t="inlineStr">
        <is>
          <t>深渊生物(Abyssal)</t>
        </is>
      </c>
      <c r="B16" s="7" t="inlineStr">
        <is>
          <t>随机目标</t>
        </is>
      </c>
      <c r="C16" s="7" t="inlineStr">
        <is>
          <t>免疫恐惧，攻击附带诅咒</t>
        </is>
      </c>
      <c r="D16" s="7" t="inlineStr">
        <is>
          <t>光属性(+30%伤害)</t>
        </is>
      </c>
      <c r="E16" s="7" t="inlineStr">
        <is>
          <t>恐惧</t>
        </is>
      </c>
      <c r="F16" s="7" t="inlineStr"/>
      <c r="G16" s="7" t="inlineStr"/>
      <c r="H16" s="7" t="inlineStr"/>
      <c r="I16" s="8" t="inlineStr">
        <is>
          <t>[PLACEHOLDER]</t>
        </is>
      </c>
    </row>
    <row r="17">
      <c r="A17" s="13" t="inlineStr">
        <is>
          <t>变异生物(Mutant)</t>
        </is>
      </c>
      <c r="B17" s="13" t="inlineStr">
        <is>
          <t>最近目标</t>
        </is>
      </c>
      <c r="C17" s="13" t="inlineStr">
        <is>
          <t>每回合恢复HP 5%</t>
        </is>
      </c>
      <c r="D17" s="13" t="inlineStr">
        <is>
          <t>流血(无法自然恢复)</t>
        </is>
      </c>
      <c r="E17" s="13" t="inlineStr">
        <is>
          <t>中毒</t>
        </is>
      </c>
      <c r="F17" s="13" t="inlineStr"/>
      <c r="G17" s="13" t="inlineStr"/>
      <c r="H17" s="13" t="inlineStr"/>
      <c r="I17" s="15" t="inlineStr">
        <is>
          <t>[PLACEHOLDER]</t>
        </is>
      </c>
    </row>
    <row r="18">
      <c r="A18" s="7" t="inlineStr">
        <is>
          <t>Boss</t>
        </is>
      </c>
      <c r="B18" s="7" t="inlineStr">
        <is>
          <t>根据设计</t>
        </is>
      </c>
      <c r="C18" s="7" t="inlineStr">
        <is>
          <t>多阶段AI，阶���转换有明确触发条件</t>
        </is>
      </c>
      <c r="D18" s="7" t="inlineStr">
        <is>
          <t>根据Boss设计</t>
        </is>
      </c>
      <c r="E18" s="7" t="inlineStr">
        <is>
          <t>根据Boss设计</t>
        </is>
      </c>
      <c r="F18" s="7" t="inlineStr"/>
      <c r="G18" s="7" t="inlineStr"/>
      <c r="H18" s="7" t="inlineStr"/>
      <c r="I18" s="8" t="inlineStr">
        <is>
          <t>[PLACEHOLDER]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2" customWidth="1" min="3" max="3"/>
    <col width="22" customWidth="1" min="4" max="4"/>
    <col width="30" customWidth="1" min="5" max="5"/>
    <col width="15" customWidth="1" min="6" max="6"/>
  </cols>
  <sheetData>
    <row r="1">
      <c r="A1" s="1" t="inlineStr">
        <is>
          <t>黑暗地牢 — 压力系统与理智崩溃机制</t>
        </is>
      </c>
    </row>
    <row r="2">
      <c r="A2" s="2" t="inlineStr">
        <is>
          <t>压力是核心双资源之一，影响战斗表现并创造长期管理挑战</t>
        </is>
      </c>
    </row>
    <row r="3"/>
    <row r="4">
      <c r="A4" s="3" t="inlineStr">
        <is>
          <t>A. 压力值阈值与效果</t>
        </is>
      </c>
    </row>
    <row r="5">
      <c r="A5" s="4" t="inlineStr">
        <is>
          <t>压力范围</t>
        </is>
      </c>
      <c r="B5" s="4" t="inlineStr">
        <is>
          <t>阶段名称</t>
        </is>
      </c>
      <c r="C5" s="4" t="inlineStr">
        <is>
          <t>战斗效果</t>
        </is>
      </c>
      <c r="D5" s="4" t="inlineStr">
        <is>
          <t>负面触发概率</t>
        </is>
      </c>
      <c r="E5" s="4" t="inlineStr">
        <is>
          <t>特殊说明</t>
        </is>
      </c>
      <c r="F5" s="4" t="inlineStr">
        <is>
          <t>测试状态</t>
        </is>
      </c>
    </row>
    <row r="6">
      <c r="A6" s="20" t="inlineStr">
        <is>
          <t>0-39</t>
        </is>
      </c>
      <c r="B6" s="20" t="inlineStr">
        <is>
          <t>镇定(Calm)</t>
        </is>
      </c>
      <c r="C6" s="20" t="inlineStr">
        <is>
          <t>无特殊效果</t>
        </is>
      </c>
      <c r="D6" s="20" t="inlineStr">
        <is>
          <t>0%</t>
        </is>
      </c>
      <c r="E6" s="20" t="inlineStr">
        <is>
          <t>基准状态</t>
        </is>
      </c>
      <c r="F6" s="21" t="inlineStr">
        <is>
          <t>[PLACEHOLDER]</t>
        </is>
      </c>
    </row>
    <row r="7">
      <c r="A7" s="7" t="inlineStr">
        <is>
          <t>40-59</t>
        </is>
      </c>
      <c r="B7" s="7" t="inlineStr">
        <is>
          <t>焦虑(Anxious)</t>
        </is>
      </c>
      <c r="C7" s="7" t="inlineStr">
        <is>
          <t>精准-5，闪避-5</t>
        </is>
      </c>
      <c r="D7" s="7" t="inlineStr">
        <is>
          <t>5%</t>
        </is>
      </c>
      <c r="E7" s="7" t="inlineStr">
        <is>
          <t>轻度负面，提示玩家关注压力</t>
        </is>
      </c>
      <c r="F7" s="8" t="inlineStr">
        <is>
          <t>[PLACEHOLDER]</t>
        </is>
      </c>
    </row>
    <row r="8">
      <c r="A8" s="20" t="inlineStr">
        <is>
          <t>60-79</t>
        </is>
      </c>
      <c r="B8" s="20" t="inlineStr">
        <is>
          <t>恐惧(Fearful)</t>
        </is>
      </c>
      <c r="C8" s="20" t="inlineStr">
        <is>
          <t>精准-10，闪避-10，体力消耗+1</t>
        </is>
      </c>
      <c r="D8" s="20" t="inlineStr">
        <is>
          <t>15%</t>
        </is>
      </c>
      <c r="E8" s="20" t="inlineStr">
        <is>
          <t>开始显著影响战术选择</t>
        </is>
      </c>
      <c r="F8" s="21" t="inlineStr">
        <is>
          <t>[PLACEHOLDER]</t>
        </is>
      </c>
    </row>
    <row r="9">
      <c r="A9" s="7" t="inlineStr">
        <is>
          <t>80-99</t>
        </is>
      </c>
      <c r="B9" s="7" t="inlineStr">
        <is>
          <t>恐慌(Panicked)</t>
        </is>
      </c>
      <c r="C9" s="7" t="inlineStr">
        <is>
          <t>精准-15，闪避-15，20%概率跳过回合</t>
        </is>
      </c>
      <c r="D9" s="7" t="inlineStr">
        <is>
          <t>30%</t>
        </is>
      </c>
      <c r="E9" s="7" t="inlineStr">
        <is>
          <t>高风险区域，需优先处理</t>
        </is>
      </c>
      <c r="F9" s="8" t="inlineStr">
        <is>
          <t>[PLACEHOLDER]</t>
        </is>
      </c>
    </row>
    <row r="10">
      <c r="A10" s="20" t="inlineStr">
        <is>
          <t>100</t>
        </is>
      </c>
      <c r="B10" s="20" t="inlineStr">
        <is>
          <t>崩溃(Broken)</t>
        </is>
      </c>
      <c r="C10" s="20" t="inlineStr">
        <is>
          <t>触发理智崩溃，压力重置为40</t>
        </is>
      </c>
      <c r="D10" s="20" t="inlineStr">
        <is>
          <t>100%</t>
        </is>
      </c>
      <c r="E10" s="20" t="inlineStr">
        <is>
          <t>触发崩溃效果，见下方崩溃类型表</t>
        </is>
      </c>
      <c r="F10" s="21" t="inlineStr">
        <is>
          <t>[PLACEHOLDER]</t>
        </is>
      </c>
    </row>
    <row r="11"/>
    <row r="12"/>
    <row r="13">
      <c r="A13" s="3" t="inlineStr">
        <is>
          <t>B. 理智崩溃类型 (Breakdown Types)</t>
        </is>
      </c>
    </row>
    <row r="14">
      <c r="A14" s="4" t="inlineStr">
        <is>
          <t>崩溃类型</t>
        </is>
      </c>
      <c r="B14" s="4" t="inlineStr">
        <is>
          <t>概率权重</t>
        </is>
      </c>
      <c r="C14" s="4" t="inlineStr">
        <is>
          <t>战斗效果</t>
        </is>
      </c>
      <c r="D14" s="4" t="inlineStr">
        <is>
          <t>持续时间</t>
        </is>
      </c>
      <c r="E14" s="4" t="inlineStr">
        <is>
          <t>恢复后永久效果</t>
        </is>
      </c>
      <c r="F14" s="4" t="inlineStr">
        <is>
          <t>测试状态</t>
        </is>
      </c>
    </row>
    <row r="15">
      <c r="A15" s="20" t="inlineStr">
        <is>
          <t>绝望(Despair)</t>
        </is>
      </c>
      <c r="B15" s="20" t="inlineStr">
        <is>
          <t>25%</t>
        </is>
      </c>
      <c r="C15" s="20" t="inlineStr">
        <is>
          <t>所有属性-20%，无法行动1回合</t>
        </is>
      </c>
      <c r="D15" s="20" t="inlineStr">
        <is>
          <t>3回合</t>
        </is>
      </c>
      <c r="E15" s="20" t="inlineStr">
        <is>
          <t>获得"幸存者"怪癖(+压力抗性)</t>
        </is>
      </c>
      <c r="F15" s="21" t="inlineStr">
        <is>
          <t>[PLACEHOLDER]</t>
        </is>
      </c>
    </row>
    <row r="16">
      <c r="A16" s="7" t="inlineStr">
        <is>
          <t>暴怒(Fury)</t>
        </is>
      </c>
      <c r="B16" s="7" t="inlineStr">
        <is>
          <t>20%</t>
        </is>
      </c>
      <c r="C16" s="7" t="inlineStr">
        <is>
          <t>立即攻击随机目标(含队友)，伤害+50%</t>
        </is>
      </c>
      <c r="D16" s="7" t="inlineStr">
        <is>
          <t>2回合</t>
        </is>
      </c>
      <c r="E16" s="7" t="inlineStr">
        <is>
          <t>获得"狂怒残留"怪癖</t>
        </is>
      </c>
      <c r="F16" s="8" t="inlineStr">
        <is>
          <t>[PLACEHOLDER]</t>
        </is>
      </c>
    </row>
    <row r="17">
      <c r="A17" s="20" t="inlineStr">
        <is>
          <t>偏执(Paranoia)</t>
        </is>
      </c>
      <c r="B17" s="20" t="inlineStr">
        <is>
          <t>20%</t>
        </is>
      </c>
      <c r="C17" s="20" t="inlineStr">
        <is>
          <t>拒绝接受治疗，攻击随机目标</t>
        </is>
      </c>
      <c r="D17" s="20" t="inlineStr">
        <is>
          <t>3回合</t>
        </is>
      </c>
      <c r="E17" s="20" t="inlineStr">
        <is>
          <t>获得"社交障碍"怪癖(共鸣获取-50%)</t>
        </is>
      </c>
      <c r="F17" s="21" t="inlineStr">
        <is>
          <t>[PLACEHOLDER]</t>
        </is>
      </c>
    </row>
    <row r="18">
      <c r="A18" s="7" t="inlineStr">
        <is>
          <t>自毁(Self-Destruction)</t>
        </is>
      </c>
      <c r="B18" s="7" t="inlineStr">
        <is>
          <t>15%</t>
        </is>
      </c>
      <c r="C18" s="7" t="inlineStr">
        <is>
          <t>对自己造成伤害+对全队造成压力</t>
        </is>
      </c>
      <c r="D18" s="7" t="inlineStr">
        <is>
          <t>2回合</t>
        </is>
      </c>
      <c r="E18" s="7" t="inlineStr">
        <is>
          <t>获得"自残"怪癖(每次探险开始HP-10%)</t>
        </is>
      </c>
      <c r="F18" s="8" t="inlineStr">
        <is>
          <t>[PLACEHOLDER]</t>
        </is>
      </c>
    </row>
    <row r="19">
      <c r="A19" s="20" t="inlineStr">
        <is>
          <t>虚空呼唤(Void Call)</t>
        </is>
      </c>
      <c r="B19" s="20" t="inlineStr">
        <is>
          <t>10%</t>
        </is>
      </c>
      <c r="C19" s="20" t="inlineStr">
        <is>
          <t>攻击力+100%但每回合对全队造成压力</t>
        </is>
      </c>
      <c r="D19" s="20" t="inlineStr">
        <is>
          <t>2回合</t>
        </is>
      </c>
      <c r="E19" s="20" t="inlineStr">
        <is>
          <t>概率获得"虚空污染"怪癖</t>
        </is>
      </c>
      <c r="F19" s="21" t="inlineStr">
        <is>
          <t>[PLACEHOLDER]</t>
        </is>
      </c>
    </row>
    <row r="20">
      <c r="A20" s="7" t="inlineStr">
        <is>
          <t>顿悟(Epiphany)</t>
        </is>
      </c>
      <c r="B20" s="7" t="inlineStr">
        <is>
          <t>10%</t>
        </is>
      </c>
      <c r="C20" s="7" t="inlineStr">
        <is>
          <t>全队压力-20，获得正面怪癖+清醒buff</t>
        </is>
      </c>
      <c r="D20" s="7" t="inlineStr">
        <is>
          <t>1回合</t>
        </is>
      </c>
      <c r="E20" s="7" t="inlineStr">
        <is>
          <t>该英雄永久免疫崩溃</t>
        </is>
      </c>
      <c r="F20" s="8" t="inlineStr">
        <is>
          <t>[PLACEHOLDER]</t>
        </is>
      </c>
    </row>
    <row r="21"/>
    <row r="22"/>
    <row r="23">
      <c r="A23" s="3" t="inlineStr">
        <is>
          <t>C. 压力获取与恢复来源</t>
        </is>
      </c>
    </row>
    <row r="24">
      <c r="A24" s="4" t="inlineStr">
        <is>
          <t>来源</t>
        </is>
      </c>
      <c r="B24" s="4" t="inlineStr">
        <is>
          <t>类型(获取/恢复)</t>
        </is>
      </c>
      <c r="C24" s="4" t="inlineStr">
        <is>
          <t>压力值变化</t>
        </is>
      </c>
      <c r="D24" s="4" t="inlineStr">
        <is>
          <t>频率/限制</t>
        </is>
      </c>
      <c r="E24" s="4" t="inlineStr">
        <is>
          <t>备注</t>
        </is>
      </c>
      <c r="F24" s="4" t="inlineStr">
        <is>
          <t>测试状态</t>
        </is>
      </c>
    </row>
    <row r="25">
      <c r="A25" s="20" t="inlineStr">
        <is>
          <t>敌人恐怖攻击</t>
        </is>
      </c>
      <c r="B25" s="20" t="inlineStr">
        <is>
          <t>获取</t>
        </is>
      </c>
      <c r="C25" s="20" t="inlineStr">
        <is>
          <t>+10~25</t>
        </is>
      </c>
      <c r="D25" s="20" t="inlineStr">
        <is>
          <t>每场战斗1-3次</t>
        </is>
      </c>
      <c r="E25" s="20" t="inlineStr">
        <is>
          <t>特定敌人技能</t>
        </is>
      </c>
      <c r="F25" s="21" t="inlineStr">
        <is>
          <t>[PLACEHOLDER]</t>
        </is>
      </c>
    </row>
    <row r="26">
      <c r="A26" s="7" t="inlineStr">
        <is>
          <t>陷入黑暗(火把=0)</t>
        </is>
      </c>
      <c r="B26" s="7" t="inlineStr">
        <is>
          <t>获取</t>
        </is>
      </c>
      <c r="C26" s="7" t="inlineStr">
        <is>
          <t>+3/回合</t>
        </is>
      </c>
      <c r="D26" s="7" t="inlineStr">
        <is>
          <t>每回合</t>
        </is>
      </c>
      <c r="E26" s="7" t="inlineStr">
        <is>
          <t>全队持续流失</t>
        </is>
      </c>
      <c r="F26" s="8" t="inlineStr">
        <is>
          <t>[PLACEHOLDER]</t>
        </is>
      </c>
    </row>
    <row r="27">
      <c r="A27" s="20" t="inlineStr">
        <is>
          <t>队友死亡</t>
        </is>
      </c>
      <c r="B27" s="20" t="inlineStr">
        <is>
          <t>获取</t>
        </is>
      </c>
      <c r="C27" s="20" t="inlineStr">
        <is>
          <t>+30</t>
        </is>
      </c>
      <c r="D27" s="20" t="inlineStr">
        <is>
          <t>单次</t>
        </is>
      </c>
      <c r="E27" s="20" t="inlineStr">
        <is>
          <t>永久——即使战斗后复活</t>
        </is>
      </c>
      <c r="F27" s="21" t="inlineStr">
        <is>
          <t>[PLACEHOLDER]</t>
        </is>
      </c>
    </row>
    <row r="28">
      <c r="A28" s="7" t="inlineStr">
        <is>
          <t>队友崩溃</t>
        </is>
      </c>
      <c r="B28" s="7" t="inlineStr">
        <is>
          <t>获取</t>
        </is>
      </c>
      <c r="C28" s="7" t="inlineStr">
        <is>
          <t>+15</t>
        </is>
      </c>
      <c r="D28" s="7" t="inlineStr">
        <is>
          <t>单次</t>
        </is>
      </c>
      <c r="E28" s="7" t="inlineStr">
        <is>
          <t>相邻英雄额外+5</t>
        </is>
      </c>
      <c r="F28" s="8" t="inlineStr">
        <is>
          <t>[PLACEHOLDER]</t>
        </is>
      </c>
    </row>
    <row r="29">
      <c r="A29" s="20" t="inlineStr">
        <is>
          <t>饥饿事件</t>
        </is>
      </c>
      <c r="B29" s="20" t="inlineStr">
        <is>
          <t>获取</t>
        </is>
      </c>
      <c r="C29" s="20" t="inlineStr">
        <is>
          <t>+20</t>
        </is>
      </c>
      <c r="D29" s="20" t="inlineStr">
        <is>
          <t>随机触发</t>
        </is>
      </c>
      <c r="E29" s="20" t="inlineStr">
        <is>
          <t>未携带足够食物时</t>
        </is>
      </c>
      <c r="F29" s="21" t="inlineStr">
        <is>
          <t>[PLACEHOLDER]</t>
        </is>
      </c>
    </row>
    <row r="30">
      <c r="A30" s="7" t="inlineStr">
        <is>
          <t>撤退</t>
        </is>
      </c>
      <c r="B30" s="7" t="inlineStr">
        <is>
          <t>获取</t>
        </is>
      </c>
      <c r="C30" s="7" t="inlineStr">
        <is>
          <t>+15~25</t>
        </is>
      </c>
      <c r="D30" s="7" t="inlineStr">
        <is>
          <t>单次</t>
        </is>
      </c>
      <c r="E30" s="7" t="inlineStr">
        <is>
          <t>战斗中撤退额外+10</t>
        </is>
      </c>
      <c r="F30" s="8" t="inlineStr">
        <is>
          <t>[PLACEHOLDER]</t>
        </is>
      </c>
    </row>
    <row r="31">
      <c r="A31" s="20" t="inlineStr">
        <is>
          <t>暴击被命中</t>
        </is>
      </c>
      <c r="B31" s="20" t="inlineStr">
        <is>
          <t>获取</t>
        </is>
      </c>
      <c r="C31" s="20" t="inlineStr">
        <is>
          <t>+5</t>
        </is>
      </c>
      <c r="D31" s="20" t="inlineStr">
        <is>
          <t>每次</t>
        </is>
      </c>
      <c r="E31" s="20" t="inlineStr">
        <is>
          <t>全队受影响</t>
        </is>
      </c>
      <c r="F31" s="21" t="inlineStr">
        <is>
          <t>[PLACEHOLDER]</t>
        </is>
      </c>
    </row>
    <row r="32">
      <c r="A32" s="7" t="inlineStr">
        <is>
          <t>击杀敌人</t>
        </is>
      </c>
      <c r="B32" s="7" t="inlineStr">
        <is>
          <t>恢复</t>
        </is>
      </c>
      <c r="C32" s="7" t="inlineStr">
        <is>
          <t>-5</t>
        </is>
      </c>
      <c r="D32" s="7" t="inlineStr">
        <is>
          <t>每次击杀</t>
        </is>
      </c>
      <c r="E32" s="7" t="inlineStr">
        <is>
          <t>仅击杀者恢复</t>
        </is>
      </c>
      <c r="F32" s="8" t="inlineStr">
        <is>
          <t>[PLACEHOLDER]</t>
        </is>
      </c>
    </row>
    <row r="33">
      <c r="A33" s="20" t="inlineStr">
        <is>
          <t>暴击命中</t>
        </is>
      </c>
      <c r="B33" s="20" t="inlineStr">
        <is>
          <t>恢复</t>
        </is>
      </c>
      <c r="C33" s="20" t="inlineStr">
        <is>
          <t>-3</t>
        </is>
      </c>
      <c r="D33" s="20" t="inlineStr">
        <is>
          <t>每次暴击</t>
        </is>
      </c>
      <c r="E33" s="20" t="inlineStr">
        <is>
          <t>攻击者+相邻队友</t>
        </is>
      </c>
      <c r="F33" s="21" t="inlineStr">
        <is>
          <t>[PLACEHOLDER]</t>
        </is>
      </c>
    </row>
    <row r="34">
      <c r="A34" s="7" t="inlineStr">
        <is>
          <t>营地技能</t>
        </is>
      </c>
      <c r="B34" s="7" t="inlineStr">
        <is>
          <t>恢复</t>
        </is>
      </c>
      <c r="C34" s="7" t="inlineStr">
        <is>
          <t>-10~20</t>
        </is>
      </c>
      <c r="D34" s="7" t="inlineStr">
        <is>
          <t>消耗营火点</t>
        </is>
      </c>
      <c r="E34" s="7" t="inlineStr">
        <is>
          <t>根据技能不同</t>
        </is>
      </c>
      <c r="F34" s="8" t="inlineStr">
        <is>
          <t>[PLACEHOLDER]</t>
        </is>
      </c>
    </row>
    <row r="35">
      <c r="A35" s="20" t="inlineStr">
        <is>
          <t>奇物安全互动</t>
        </is>
      </c>
      <c r="B35" s="20" t="inlineStr">
        <is>
          <t>恢复</t>
        </is>
      </c>
      <c r="C35" s="20" t="inlineStr">
        <is>
          <t>-10~15</t>
        </is>
      </c>
      <c r="D35" s="20" t="inlineStr">
        <is>
          <t>每次成功互动</t>
        </is>
      </c>
      <c r="E35" s="20" t="inlineStr">
        <is>
          <t>可能消耗物品</t>
        </is>
      </c>
      <c r="F35" s="21" t="inlineStr">
        <is>
          <t>[PLACEHOLDER]</t>
        </is>
      </c>
    </row>
    <row r="36">
      <c r="A36" s="7" t="inlineStr">
        <is>
          <t>城镇冥想</t>
        </is>
      </c>
      <c r="B36" s="7" t="inlineStr">
        <is>
          <t>恢复</t>
        </is>
      </c>
      <c r="C36" s="7" t="inlineStr">
        <is>
          <t>-30</t>
        </is>
      </c>
      <c r="D36" s="7" t="inlineStr">
        <is>
          <t>1周</t>
        </is>
      </c>
      <c r="E36" s="7" t="inlineStr">
        <is>
          <t>花费500金币</t>
        </is>
      </c>
      <c r="F36" s="8" t="inlineStr">
        <is>
          <t>[PLACEHOLDER]</t>
        </is>
      </c>
    </row>
    <row r="37">
      <c r="A37" s="20" t="inlineStr">
        <is>
          <t>城镇祈祷</t>
        </is>
      </c>
      <c r="B37" s="20" t="inlineStr">
        <is>
          <t>恢复</t>
        </is>
      </c>
      <c r="C37" s="20" t="inlineStr">
        <is>
          <t>-50</t>
        </is>
      </c>
      <c r="D37" s="20" t="inlineStr">
        <is>
          <t>1周</t>
        </is>
      </c>
      <c r="E37" s="20" t="inlineStr">
        <is>
          <t>花费1000金币</t>
        </is>
      </c>
      <c r="F37" s="21" t="inlineStr">
        <is>
          <t>[PLACEHOLDER]</t>
        </is>
      </c>
    </row>
    <row r="38">
      <c r="A38" s="7" t="inlineStr">
        <is>
          <t>城镇饮酒</t>
        </is>
      </c>
      <c r="B38" s="7" t="inlineStr">
        <is>
          <t>恢复</t>
        </is>
      </c>
      <c r="C38" s="7" t="inlineStr">
        <is>
          <t>-25</t>
        </is>
      </c>
      <c r="D38" s="7" t="inlineStr">
        <is>
          <t>1周</t>
        </is>
      </c>
      <c r="E38" s="7" t="inlineStr">
        <is>
          <t>可能获得/失去怪癖</t>
        </is>
      </c>
      <c r="F38" s="8" t="inlineStr">
        <is>
          <t>[PLACEHOLDER]</t>
        </is>
      </c>
    </row>
  </sheetData>
  <mergeCells count="5">
    <mergeCell ref="A2:F2"/>
    <mergeCell ref="A13:F13"/>
    <mergeCell ref="A1:F1"/>
    <mergeCell ref="A23:F23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50" customWidth="1" min="9" max="9"/>
    <col width="15" customWidth="1" min="10" max="10"/>
  </cols>
  <sheetData>
    <row r="1">
      <c r="A1" s="1" t="inlineStr">
        <is>
          <t>黑暗地牢 — 城镇建筑升级成本总表</t>
        </is>
      </c>
    </row>
    <row r="2">
      <c r="A2" s="2" t="inlineStr">
        <is>
          <t>建筑升级是长期进度的核心驱动。所有数值单位为金币(个)，先祖遗物单位为(个)</t>
        </is>
      </c>
    </row>
    <row r="3"/>
    <row r="4">
      <c r="A4" s="4" t="inlineStr">
        <is>
          <t>建筑名称</t>
        </is>
      </c>
      <c r="B4" s="4" t="inlineStr">
        <is>
          <t>Lv1→Lv2(金币)</t>
        </is>
      </c>
      <c r="C4" s="4" t="inlineStr">
        <is>
          <t>Lv2→Lv3(金币)</t>
        </is>
      </c>
      <c r="D4" s="4" t="inlineStr">
        <is>
          <t>Lv3→Lv4(金币)</t>
        </is>
      </c>
      <c r="E4" s="4" t="inlineStr">
        <is>
          <t>Lv4→Lv5(金币)</t>
        </is>
      </c>
      <c r="F4" s="4" t="inlineStr">
        <is>
          <t>总投资金币</t>
        </is>
      </c>
      <c r="G4" s="4" t="inlineStr">
        <is>
          <t>先祖遗物总计</t>
        </is>
      </c>
      <c r="H4" s="4" t="inlineStr">
        <is>
          <t>升级时间(周)</t>
        </is>
      </c>
      <c r="I4" s="4" t="inlineStr">
        <is>
          <t>解锁内容摘要</t>
        </is>
      </c>
      <c r="J4" s="4" t="inlineStr">
        <is>
          <t>测试状��</t>
        </is>
      </c>
    </row>
    <row r="5">
      <c r="A5" s="22" t="inlineStr">
        <is>
          <t>公会大厅(Guild Hall)</t>
        </is>
      </c>
      <c r="B5" s="23" t="n">
        <v>1500</v>
      </c>
      <c r="C5" s="23" t="n">
        <v>3000</v>
      </c>
      <c r="D5" s="23" t="n">
        <v>6000</v>
      </c>
      <c r="E5" s="23" t="n">
        <v>12000</v>
      </c>
      <c r="F5" s="23">
        <f>SUM(B5:E5)</f>
        <v/>
      </c>
      <c r="G5" s="23" t="n">
        <v>51</v>
      </c>
      <c r="H5" s="24" t="n">
        <v>10</v>
      </c>
      <c r="I5" s="24" t="inlineStr">
        <is>
          <t>Lv2:3英雄/周 Lv3:4英雄/周+职业倾向 Lv4:5英雄/周+预览1怪癖 Lv5:每日额外刷新</t>
        </is>
      </c>
      <c r="J5" s="25" t="inlineStr">
        <is>
          <t>[PLACEHOLDER]</t>
        </is>
      </c>
    </row>
    <row r="6">
      <c r="A6" s="11" t="inlineStr">
        <is>
          <t>铁匠铺(Blacksmith)</t>
        </is>
      </c>
      <c r="B6" s="12" t="n">
        <v>1500</v>
      </c>
      <c r="C6" s="12" t="n">
        <v>3000</v>
      </c>
      <c r="D6" s="12" t="n">
        <v>6000</v>
      </c>
      <c r="E6" s="12" t="n">
        <v>12000</v>
      </c>
      <c r="F6" s="12">
        <f>SUM(B6:E6)</f>
        <v/>
      </c>
      <c r="G6" s="12" t="n">
        <v>51</v>
      </c>
      <c r="H6" s="7" t="n">
        <v>10</v>
      </c>
      <c r="I6" s="7" t="inlineStr">
        <is>
          <t>Lv2:武器Lv2 Lv3:武器Lv3+附魔槽 Lv4:武器Lv5+2附魔槽 Lv5:武器Lv6</t>
        </is>
      </c>
      <c r="J6" s="8" t="inlineStr">
        <is>
          <t>[PLACEHOLDER]</t>
        </is>
      </c>
    </row>
    <row r="7">
      <c r="A7" s="22" t="inlineStr">
        <is>
          <t>修道院(Abbey)</t>
        </is>
      </c>
      <c r="B7" s="23" t="n">
        <v>1500</v>
      </c>
      <c r="C7" s="23" t="n">
        <v>3000</v>
      </c>
      <c r="D7" s="23" t="n">
        <v>6000</v>
      </c>
      <c r="E7" s="23" t="n">
        <v>12000</v>
      </c>
      <c r="F7" s="23">
        <f>SUM(B7:E7)</f>
        <v/>
      </c>
      <c r="G7" s="23" t="n">
        <v>51</v>
      </c>
      <c r="H7" s="24" t="n">
        <v>10</v>
      </c>
      <c r="I7" s="24" t="inlineStr">
        <is>
          <t>Lv2:祈祷-50 Lv3:告解-80 Lv4:槽位+1 Lv5:群体祈祷</t>
        </is>
      </c>
      <c r="J7" s="25" t="inlineStr">
        <is>
          <t>[PLACEHOLDER]</t>
        </is>
      </c>
    </row>
    <row r="8">
      <c r="A8" s="11" t="inlineStr">
        <is>
          <t>疗养院(Sanitarium)</t>
        </is>
      </c>
      <c r="B8" s="12" t="n">
        <v>1500</v>
      </c>
      <c r="C8" s="12" t="n">
        <v>3000</v>
      </c>
      <c r="D8" s="12" t="n">
        <v>6000</v>
      </c>
      <c r="E8" s="12" t="n">
        <v>12000</v>
      </c>
      <c r="F8" s="12">
        <f>SUM(B8:E8)</f>
        <v/>
      </c>
      <c r="G8" s="12" t="n">
        <v>51</v>
      </c>
      <c r="H8" s="7" t="n">
        <v>10</v>
      </c>
      <c r="I8" s="7" t="inlineStr">
        <is>
          <t>Lv2:2槽 Lv3:锁定正面怪癖 Lv4:3槽 Lv5:费用-30%+成功率+20%</t>
        </is>
      </c>
      <c r="J8" s="8" t="inlineStr">
        <is>
          <t>[PLACEHOLDER]</t>
        </is>
      </c>
    </row>
    <row r="9">
      <c r="A9" s="22" t="inlineStr">
        <is>
          <t>酒馆(Tavern)</t>
        </is>
      </c>
      <c r="B9" s="23" t="n">
        <v>1500</v>
      </c>
      <c r="C9" s="23" t="n">
        <v>3000</v>
      </c>
      <c r="D9" s="23" t="n">
        <v>6000</v>
      </c>
      <c r="E9" s="23" t="n">
        <v>12000</v>
      </c>
      <c r="F9" s="23">
        <f>SUM(B9:E9)</f>
        <v/>
      </c>
      <c r="G9" s="23" t="n">
        <v>51</v>
      </c>
      <c r="H9" s="24" t="n">
        <v>10</v>
      </c>
      <c r="I9" s="24" t="inlineStr">
        <is>
          <t>Lv2:赌博 Lv3:社交(共鸣) Lv4:槽位+1 Lv5:传奇故事</t>
        </is>
      </c>
      <c r="J9" s="25" t="inlineStr">
        <is>
          <t>[PLACEHOLDER]</t>
        </is>
      </c>
    </row>
    <row r="10">
      <c r="A10" s="11" t="inlineStr">
        <is>
          <t>图书馆(Library)</t>
        </is>
      </c>
      <c r="B10" s="12" t="n">
        <v>2000</v>
      </c>
      <c r="C10" s="12" t="n">
        <v>4000</v>
      </c>
      <c r="D10" s="12" t="n">
        <v>8000</v>
      </c>
      <c r="E10" s="12" t="n">
        <v>16000</v>
      </c>
      <c r="F10" s="12">
        <f>SUM(B10:E10)</f>
        <v/>
      </c>
      <c r="G10" s="12" t="n">
        <v>60</v>
      </c>
      <c r="H10" s="7" t="n">
        <v>10</v>
      </c>
      <c r="I10" s="7" t="inlineStr">
        <is>
          <t>Lv2:2种敌人信息 Lv3:学者职业 Lv4:区域研究buff Lv5:暗影牧师职业</t>
        </is>
      </c>
      <c r="J10" s="8" t="inlineStr">
        <is>
          <t>[PLACEHOLDER]</t>
        </is>
      </c>
    </row>
    <row r="11">
      <c r="A11" s="22" t="inlineStr">
        <is>
          <t>血泉(Blood Well)</t>
        </is>
      </c>
      <c r="B11" s="23" t="n">
        <v>2000</v>
      </c>
      <c r="C11" s="23" t="n">
        <v>4000</v>
      </c>
      <c r="D11" s="23" t="n">
        <v>8000</v>
      </c>
      <c r="E11" s="23" t="n">
        <v>16000</v>
      </c>
      <c r="F11" s="23">
        <f>SUM(B11:E11)</f>
        <v/>
      </c>
      <c r="G11" s="23" t="n">
        <v>60</v>
      </c>
      <c r="H11" s="24" t="n">
        <v>10</v>
      </c>
      <c r="I11" s="24" t="inlineStr">
        <is>
          <t>Lv2:狂战士职业 Lv3:HP+5% Lv4:血骑士职业 Lv5:体力上限+1</t>
        </is>
      </c>
      <c r="J11" s="25" t="inlineStr">
        <is>
          <t>[PLACEHOLDER]</t>
        </is>
      </c>
    </row>
    <row r="12">
      <c r="A12" s="11" t="inlineStr">
        <is>
          <t>先祖祭坛(Ancestral Altar)</t>
        </is>
      </c>
      <c r="B12" s="12" t="n">
        <v>3000</v>
      </c>
      <c r="C12" s="12" t="n">
        <v>6000</v>
      </c>
      <c r="D12" s="12" t="n">
        <v>12000</v>
      </c>
      <c r="E12" s="12" t="n">
        <v>24000</v>
      </c>
      <c r="F12" s="12">
        <f>SUM(B12:E12)</f>
        <v/>
      </c>
      <c r="G12" s="12" t="n">
        <v>90</v>
      </c>
      <c r="H12" s="7" t="n">
        <v>10</v>
      </c>
      <c r="I12" s="7" t="inlineStr">
        <is>
          <t>Lv2:饰品合成 Lv3:史诗合成 Lv4:英雄附魔 Lv5:幽魂职业+真结局</t>
        </is>
      </c>
      <c r="J12" s="8" t="inlineStr">
        <is>
          <t>[PLACEHOLDER]</t>
        </is>
      </c>
    </row>
    <row r="13">
      <c r="A13" s="17" t="inlineStr">
        <is>
          <t>总计</t>
        </is>
      </c>
      <c r="B13" s="26">
        <f>SUM(B5:B12)</f>
        <v/>
      </c>
      <c r="C13" s="26">
        <f>SUM(C5:C12)</f>
        <v/>
      </c>
      <c r="D13" s="26">
        <f>SUM(D5:D12)</f>
        <v/>
      </c>
      <c r="E13" s="26">
        <f>SUM(E5:E12)</f>
        <v/>
      </c>
      <c r="F13" s="26">
        <f>SUM(F5:F12)</f>
        <v/>
      </c>
      <c r="G13" s="26">
        <f>SUM(G5:G12)</f>
        <v/>
      </c>
      <c r="H13" s="26">
        <f>SUM(H5:H12)</f>
        <v/>
      </c>
      <c r="I13" s="17" t="inlineStr">
        <is>
          <t>全建筑满级总投资</t>
        </is>
      </c>
      <c r="J13" s="17" t="n"/>
    </row>
    <row r="14"/>
    <row r="15">
      <c r="A15" s="27" t="inlineStr">
        <is>
          <t>经济关键指标: 全建筑满级需要完成约 =ROUND(F{total_row}/750,0) 次学徒短任务 (以每次净收益750金币计算)</t>
        </is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黑暗地牢 — 难度修饰符与奖励倍率</t>
        </is>
      </c>
    </row>
    <row r="2"/>
    <row r="3">
      <c r="A3" s="4" t="inlineStr">
        <is>
          <t>修饰符名称</t>
        </is>
      </c>
      <c r="B3" s="4" t="inlineStr">
        <is>
          <t>效果描述</t>
        </is>
      </c>
      <c r="C3" s="4" t="inlineStr">
        <is>
          <t>奖励倍率</t>
        </is>
      </c>
      <c r="D3" s="4" t="inlineStr">
        <is>
          <t>适用条件</t>
        </is>
      </c>
      <c r="E3" s="4" t="inlineStr">
        <is>
          <t>测试状态</t>
        </is>
      </c>
    </row>
    <row r="4">
      <c r="A4" s="24" t="inlineStr">
        <is>
          <t>无光探险</t>
        </is>
      </c>
      <c r="B4" s="24" t="inlineStr">
        <is>
          <t>强制火把=0，不可补充</t>
        </is>
      </c>
      <c r="C4" s="24" t="n">
        <v>1.5</v>
      </c>
      <c r="D4" s="24" t="inlineStr">
        <is>
          <t>所有任务</t>
        </is>
      </c>
      <c r="E4" s="25" t="inlineStr">
        <is>
          <t>[PLACEHOLDER]</t>
        </is>
      </c>
    </row>
    <row r="5">
      <c r="A5" s="7" t="inlineStr">
        <is>
          <t>独行侠</t>
        </is>
      </c>
      <c r="B5" s="7" t="inlineStr">
        <is>
          <t>只能带2个英雄(正常4个)</t>
        </is>
      </c>
      <c r="C5" s="7" t="n">
        <v>2</v>
      </c>
      <c r="D5" s="7" t="inlineStr">
        <is>
          <t>所有任务</t>
        </is>
      </c>
      <c r="E5" s="8" t="inlineStr">
        <is>
          <t>[PLACEHOLDER]</t>
        </is>
      </c>
    </row>
    <row r="6">
      <c r="A6" s="24" t="inlineStr">
        <is>
          <t>时间紧迫</t>
        </is>
      </c>
      <c r="B6" s="24" t="inlineStr">
        <is>
          <t>食物消耗×2，压力获取+50%</t>
        </is>
      </c>
      <c r="C6" s="24" t="n">
        <v>1.3</v>
      </c>
      <c r="D6" s="24" t="inlineStr">
        <is>
          <t>所有任务</t>
        </is>
      </c>
      <c r="E6" s="25" t="inlineStr">
        <is>
          <t>[PLACEHOLDER]</t>
        </is>
      </c>
    </row>
    <row r="7">
      <c r="A7" s="7" t="inlineStr">
        <is>
          <t>Boss Rush</t>
        </is>
      </c>
      <c r="B7" s="7" t="inlineStr">
        <is>
          <t>3个Boss连续战斗，无探索阶段</t>
        </is>
      </c>
      <c r="C7" s="7" t="n">
        <v>2.5</v>
      </c>
      <c r="D7" s="7" t="inlineStr">
        <is>
          <t>仅Boss任务</t>
        </is>
      </c>
      <c r="E7" s="8" t="inlineStr">
        <is>
          <t>[PLACEHOLDER]</t>
        </is>
      </c>
    </row>
    <row r="8">
      <c r="A8" s="24" t="inlineStr">
        <is>
          <t>诅咒之地</t>
        </is>
      </c>
      <c r="B8" s="24" t="inlineStr">
        <is>
          <t>全队开始时带随机诅咒</t>
        </is>
      </c>
      <c r="C8" s="24" t="n">
        <v>1.8</v>
      </c>
      <c r="D8" s="24" t="inlineStr">
        <is>
          <t>所有任务</t>
        </is>
      </c>
      <c r="E8" s="25" t="inlineStr">
        <is>
          <t>[PLACEHOLDER]</t>
        </is>
      </c>
    </row>
    <row r="9">
      <c r="A9" s="7" t="inlineStr">
        <is>
          <t>纯净挑战</t>
        </is>
      </c>
      <c r="B9" s="7" t="inlineStr">
        <is>
          <t>不可携带任何补给品</t>
        </is>
      </c>
      <c r="C9" s="7" t="n">
        <v>1.4</v>
      </c>
      <c r="D9" s="7" t="inlineStr">
        <is>
          <t>所有任务</t>
        </is>
      </c>
      <c r="E9" s="8" t="inlineStr">
        <is>
          <t>[PLACEHOLDER]</t>
        </is>
      </c>
    </row>
    <row r="10">
      <c r="A10" s="24" t="inlineStr">
        <is>
          <t>死亡行军</t>
        </is>
      </c>
      <c r="B10" s="24" t="inlineStr">
        <is>
          <t>英雄死亡永久不可替换(本次探险)</t>
        </is>
      </c>
      <c r="C10" s="24" t="n">
        <v>3</v>
      </c>
      <c r="D10" s="24" t="inlineStr">
        <is>
          <t>所有任务</t>
        </is>
      </c>
      <c r="E10" s="25" t="inlineStr">
        <is>
          <t>[PLACEHOLDER]</t>
        </is>
      </c>
    </row>
    <row r="11"/>
    <row r="12"/>
    <row r="13">
      <c r="A13" s="28" t="inlineStr">
        <is>
          <t>修饰符叠加规则: 可多选，奖励倍率相乘。冲突检查: "无光探险"与"纯净挑战"不冲突(无光不消耗补给)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5" customWidth="1" min="3" max="3"/>
    <col width="40" customWidth="1" min="4" max="4"/>
  </cols>
  <sheetData>
    <row r="1">
      <c r="A1" s="1" t="inlineStr">
        <is>
          <t>黑暗地牢 — 核心公式速查表</t>
        </is>
      </c>
    </row>
    <row r="2"/>
    <row r="3">
      <c r="A3" s="4" t="inlineStr">
        <is>
          <t>公式类别</t>
        </is>
      </c>
      <c r="B3" s="4" t="inlineStr">
        <is>
          <t>公式名称</t>
        </is>
      </c>
      <c r="C3" s="4" t="inlineStr">
        <is>
          <t>数学表达式</t>
        </is>
      </c>
      <c r="D3" s="4" t="inlineStr">
        <is>
          <t>备注</t>
        </is>
      </c>
    </row>
    <row r="4">
      <c r="A4" s="7" t="inlineStr">
        <is>
          <t>战斗</t>
        </is>
      </c>
      <c r="B4" s="7" t="inlineStr">
        <is>
          <t>命中率</t>
        </is>
      </c>
      <c r="C4" s="29" t="inlineStr">
        <is>
          <t>CLAMP(ACC - DOD, 5%, 95%)</t>
        </is>
      </c>
      <c r="D4" s="11" t="inlineStr">
        <is>
          <t>ACC=攻击方精准, DOD=防御方闪避</t>
        </is>
      </c>
    </row>
    <row r="5">
      <c r="A5" s="7" t="inlineStr">
        <is>
          <t>战斗</t>
        </is>
      </c>
      <c r="B5" s="7" t="inlineStr">
        <is>
          <t>非暴击伤害</t>
        </is>
      </c>
      <c r="C5" s="29" t="inlineStr">
        <is>
          <t>MAX(基础伤害 × 技能倍率 × (1+伤害修正%) - ARM × (1-穿透%), 1)</t>
        </is>
      </c>
      <c r="D5" s="11" t="inlineStr">
        <is>
          <t>最少造成1点伤害</t>
        </is>
      </c>
    </row>
    <row r="6">
      <c r="A6" s="7" t="inlineStr">
        <is>
          <t>战斗</t>
        </is>
      </c>
      <c r="B6" s="7" t="inlineStr">
        <is>
          <t>暴击伤害</t>
        </is>
      </c>
      <c r="C6" s="29" t="inlineStr">
        <is>
          <t>非暴击伤害 × (1.5 + CRD修正)</t>
        </is>
      </c>
      <c r="D6" s="11" t="inlineStr">
        <is>
          <t>CRD修正来自技能/buff/饰品</t>
        </is>
      </c>
    </row>
    <row r="7">
      <c r="A7" s="7" t="inlineStr">
        <is>
          <t>战斗</t>
        </is>
      </c>
      <c r="B7" s="7" t="inlineStr">
        <is>
          <t>暴击率</t>
        </is>
      </c>
      <c r="C7" s="29" t="inlineStr">
        <is>
          <t>CLAMP(基础CRT% + 技能CRT修正 + buff修正, 0%, 100%)</t>
        </is>
      </c>
      <c r="D7" s="11" t="inlineStr"/>
    </row>
    <row r="8">
      <c r="A8" s="7" t="inlineStr">
        <is>
          <t>战斗</t>
        </is>
      </c>
      <c r="B8" s="7" t="inlineStr">
        <is>
          <t>体力消耗</t>
        </is>
      </c>
      <c r="C8" s="29" t="inlineStr">
        <is>
          <t>技能固定消耗值</t>
        </is>
      </c>
      <c r="D8" s="11" t="inlineStr">
        <is>
          <t>不受任何属性影响</t>
        </is>
      </c>
    </row>
    <row r="9">
      <c r="A9" s="7" t="inlineStr">
        <is>
          <t>战斗</t>
        </is>
      </c>
      <c r="B9" s="7" t="inlineStr">
        <is>
          <t>理智伤害</t>
        </is>
      </c>
      <c r="C9" s="29" t="inlineStr">
        <is>
          <t>固定值 × (1 - SR%)</t>
        </is>
      </c>
      <c r="D9" s="11" t="inlineStr">
        <is>
          <t>SR=压力抗性</t>
        </is>
      </c>
    </row>
    <row r="10">
      <c r="A10" s="7" t="inlineStr">
        <is>
          <t>战斗</t>
        </is>
      </c>
      <c r="B10" s="7" t="inlineStr">
        <is>
          <t>死亡之门概率</t>
        </is>
      </c>
      <c r="C10" s="29" t="inlineStr">
        <is>
          <t>67% - (SR% × 0.5)</t>
        </is>
      </c>
      <c r="D10" s="11" t="inlineStr">
        <is>
          <t>HP=0后每次受击的死亡概率</t>
        </is>
      </c>
    </row>
    <row r="11">
      <c r="A11" s="7" t="inlineStr">
        <is>
          <t>经济</t>
        </is>
      </c>
      <c r="B11" s="7" t="inlineStr">
        <is>
          <t>任务净收益</t>
        </is>
      </c>
      <c r="C11" s="29" t="inlineStr">
        <is>
          <t>任务奖励 - 补给成本 - 治疗成本 - 减压成本</t>
        </is>
      </c>
      <c r="D11" s="11" t="inlineStr"/>
    </row>
    <row r="12">
      <c r="A12" s="7" t="inlineStr">
        <is>
          <t>经济</t>
        </is>
      </c>
      <c r="B12" s="7" t="inlineStr">
        <is>
          <t>补给成本占比</t>
        </is>
      </c>
      <c r="C12" s="29" t="inlineStr">
        <is>
          <t>补给成本 / 任务基础奖励</t>
        </is>
      </c>
      <c r="D12" s="11" t="inlineStr">
        <is>
          <t>目标: 20-30%</t>
        </is>
      </c>
    </row>
    <row r="13">
      <c r="A13" s="7" t="inlineStr">
        <is>
          <t>经济</t>
        </is>
      </c>
      <c r="B13" s="7" t="inlineStr">
        <is>
          <t>英雄招募成本</t>
        </is>
      </c>
      <c r="C13" s="29" t="inlineStr">
        <is>
          <t>500 + 250 × (等级 - 1)</t>
        </is>
      </c>
      <c r="D13" s="11" t="inlineStr">
        <is>
          <t>Lv0免费</t>
        </is>
      </c>
    </row>
    <row r="14">
      <c r="A14" s="7" t="inlineStr">
        <is>
          <t>经济</t>
        </is>
      </c>
      <c r="B14" s="7" t="inlineStr">
        <is>
          <t>武器升级成本</t>
        </is>
      </c>
      <c r="C14" s="29" t="inlineStr">
        <is>
          <t>400 × 当前等级</t>
        </is>
      </c>
      <c r="D14" s="11" t="inlineStr"/>
    </row>
    <row r="15">
      <c r="A15" s="7" t="inlineStr">
        <is>
          <t>经济</t>
        </is>
      </c>
      <c r="B15" s="7" t="inlineStr">
        <is>
          <t>护甲升级成本</t>
        </is>
      </c>
      <c r="C15" s="29" t="inlineStr">
        <is>
          <t>300 × 当前等级</t>
        </is>
      </c>
      <c r="D15" s="11" t="inlineStr"/>
    </row>
    <row r="16">
      <c r="A16" s="7" t="inlineStr">
        <is>
          <t>经济</t>
        </is>
      </c>
      <c r="B16" s="7" t="inlineStr">
        <is>
          <t>技能升级成本</t>
        </is>
      </c>
      <c r="C16" s="29" t="inlineStr">
        <is>
          <t>250 × 当前等级</t>
        </is>
      </c>
      <c r="D16" s="11" t="inlineStr"/>
    </row>
    <row r="17">
      <c r="A17" s="7" t="inlineStr">
        <is>
          <t>压力</t>
        </is>
      </c>
      <c r="B17" s="7" t="inlineStr">
        <is>
          <t>共鸣值效果(正)</t>
        </is>
      </c>
      <c r="C17" s="29" t="inlineStr">
        <is>
          <t>理智消耗 × (1 - 0.03 × 共鸣值) [共鸣值&gt;0]</t>
        </is>
      </c>
      <c r="D17" s="11" t="inlineStr">
        <is>
          <t>仅相邻站位触发</t>
        </is>
      </c>
    </row>
    <row r="18">
      <c r="A18" s="7" t="inlineStr">
        <is>
          <t>压力</t>
        </is>
      </c>
      <c r="B18" s="7" t="inlineStr">
        <is>
          <t>共鸣值效果(负)</t>
        </is>
      </c>
      <c r="C18" s="29" t="inlineStr">
        <is>
          <t>理智消耗 × (1 + 0.03 × |共鸣值|) [共鸣值&lt;0]</t>
        </is>
      </c>
      <c r="D18" s="11" t="inlineStr">
        <is>
          <t>仅相邻站位触发</t>
        </is>
      </c>
    </row>
    <row r="19">
      <c r="A19" s="7" t="inlineStr">
        <is>
          <t>压力</t>
        </is>
      </c>
      <c r="B19" s="7" t="inlineStr">
        <is>
          <t>共鸣拒绝治疗概率</t>
        </is>
      </c>
      <c r="C19" s="29" t="inlineStr">
        <is>
          <t>MIN(|共鸣值| × 3%, 30%) [共鸣值&lt;-3]</t>
        </is>
      </c>
      <c r="D19" s="11" t="inlineStr">
        <is>
          <t>负共鸣过高时拒绝治疗</t>
        </is>
      </c>
    </row>
    <row r="20">
      <c r="A20" s="7" t="inlineStr">
        <is>
          <t>探索</t>
        </is>
      </c>
      <c r="B20" s="7" t="inlineStr">
        <is>
          <t>火把消耗</t>
        </is>
      </c>
      <c r="C20" s="29" t="inlineStr">
        <is>
          <t>1单位/格(房间)，2单位/格(走廊)</t>
        </is>
      </c>
      <c r="D20" s="11" t="inlineStr">
        <is>
          <t>特殊环境×1.5~2.0</t>
        </is>
      </c>
    </row>
    <row r="21">
      <c r="A21" s="7" t="inlineStr">
        <is>
          <t>探索</t>
        </is>
      </c>
      <c r="B21" s="7" t="inlineStr">
        <is>
          <t>黑暗战利品加成</t>
        </is>
      </c>
      <c r="C21" s="29" t="inlineStr">
        <is>
          <t>+30%(黑暗) / +60%+稀有翻倍(完全黑暗)</t>
        </is>
      </c>
      <c r="D21" s="11" t="inlineStr">
        <is>
          <t>风险/收益核心博弈</t>
        </is>
      </c>
    </row>
    <row r="22">
      <c r="A22" s="7" t="inlineStr">
        <is>
          <t>进度</t>
        </is>
      </c>
      <c r="B22" s="7" t="inlineStr">
        <is>
          <t>建筑回本周期</t>
        </is>
      </c>
      <c r="C22" s="29" t="inlineStr">
        <is>
          <t>建筑总成本 / 建筑带来的每次探险额外收益</t>
        </is>
      </c>
      <c r="D22" s="11" t="inlineStr">
        <is>
          <t>目标: 5-8次探险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2026-07-23T15:42:24Z</dcterms:created>
  <dcterms:modified xmlns:dcterms="http://purl.org/dc/terms/" xmlns:xsi="http://www.w3.org/2001/XMLSchema-instance" xsi:type="dcterms:W3CDTF">2026-07-23T15:42:24Z</dcterms:modified>
</cp:coreProperties>
</file>